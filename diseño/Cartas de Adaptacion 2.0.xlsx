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ias Daille\OneDrive\Escritorio\desarrollo evolucion\"/>
    </mc:Choice>
  </mc:AlternateContent>
  <xr:revisionPtr revIDLastSave="0" documentId="13_ncr:1_{CA4565C6-CA39-475A-96CA-99D9B4A86D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as de Adaptación" sheetId="1" r:id="rId1"/>
  </sheets>
  <definedNames>
    <definedName name="_xlnm._FilterDatabase" localSheetId="0" hidden="1">'Cartas de Adaptación'!$A$1:$Q$101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3" i="1" l="1"/>
  <c r="AG142" i="1"/>
  <c r="AF142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Q133" i="1"/>
  <c r="P133" i="1"/>
  <c r="O133" i="1"/>
  <c r="N133" i="1"/>
  <c r="L133" i="1"/>
  <c r="K133" i="1"/>
  <c r="J133" i="1"/>
  <c r="I133" i="1"/>
  <c r="H133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33" i="1" l="1"/>
</calcChain>
</file>

<file path=xl/sharedStrings.xml><?xml version="1.0" encoding="utf-8"?>
<sst xmlns="http://schemas.openxmlformats.org/spreadsheetml/2006/main" count="818" uniqueCount="518">
  <si>
    <t>ID</t>
  </si>
  <si>
    <t>Nombre</t>
  </si>
  <si>
    <t>Tipo</t>
  </si>
  <si>
    <t>Descripción</t>
  </si>
  <si>
    <t>Animal de referencia</t>
  </si>
  <si>
    <t xml:space="preserve">Tipo de alimentacion </t>
  </si>
  <si>
    <t xml:space="preserve">objetivo de ataque </t>
  </si>
  <si>
    <t>Ataque</t>
  </si>
  <si>
    <t>Armadura</t>
  </si>
  <si>
    <t>Salud</t>
  </si>
  <si>
    <t>Velocidad</t>
  </si>
  <si>
    <t xml:space="preserve">Persepcion </t>
  </si>
  <si>
    <t xml:space="preserve">Fertilidad </t>
  </si>
  <si>
    <t>Metavolismo</t>
  </si>
  <si>
    <t>Temperatura</t>
  </si>
  <si>
    <t>Efecto especial</t>
  </si>
  <si>
    <t>Estado aplicado</t>
  </si>
  <si>
    <t>Rareza</t>
  </si>
  <si>
    <t xml:space="preserve">desierto </t>
  </si>
  <si>
    <t>montaña</t>
  </si>
  <si>
    <t>sabana</t>
  </si>
  <si>
    <t xml:space="preserve">manglar </t>
  </si>
  <si>
    <t>Jungla</t>
  </si>
  <si>
    <t>Arrecife</t>
  </si>
  <si>
    <t>Playa</t>
  </si>
  <si>
    <t>Bosque</t>
  </si>
  <si>
    <t>Llanura</t>
  </si>
  <si>
    <t>Pradera</t>
  </si>
  <si>
    <t xml:space="preserve">Taiga </t>
  </si>
  <si>
    <t>Estepa</t>
  </si>
  <si>
    <t xml:space="preserve">Tundra </t>
  </si>
  <si>
    <t>Montaña Fria</t>
  </si>
  <si>
    <t>Glaciares</t>
  </si>
  <si>
    <t>Mandíbula Trituradora</t>
  </si>
  <si>
    <t>Mandíbula</t>
  </si>
  <si>
    <t>Capaz de aplastar presas duras.</t>
  </si>
  <si>
    <t>Hiena</t>
  </si>
  <si>
    <t>Carnivoro</t>
  </si>
  <si>
    <t xml:space="preserve">La especie con menor velocidad </t>
  </si>
  <si>
    <t>Obtiene más 1 de alimento cada vez que un individuo es eliminado. | En Sabana: +1 Ataque durante forrajeo y ataques.</t>
  </si>
  <si>
    <t>—</t>
  </si>
  <si>
    <t>Colmillos Serrados</t>
  </si>
  <si>
    <t>Dientes afilados para desgarrar carne.</t>
  </si>
  <si>
    <t>Tiburón blanco</t>
  </si>
  <si>
    <t xml:space="preserve">La especie con mayor armadura </t>
  </si>
  <si>
    <t>Al atacar: ignora la armadura de la presa en ese ataque.</t>
  </si>
  <si>
    <t>Pico Cortante</t>
  </si>
  <si>
    <t>Mandíbula en forma de pico para cortar.</t>
  </si>
  <si>
    <t>Águila</t>
  </si>
  <si>
    <t>La especie con menor velocidad</t>
  </si>
  <si>
    <t>En Montaña: +1 Ataque durante forrajeo y ataques.</t>
  </si>
  <si>
    <t>Mandíbula Canina</t>
  </si>
  <si>
    <t>Mandíbula para cortar y perforar</t>
  </si>
  <si>
    <t>Lobo</t>
  </si>
  <si>
    <t>Al jugarla: roba 1 carta y luego descarta 1 carta.</t>
  </si>
  <si>
    <t>Mordida Venenosa</t>
  </si>
  <si>
    <t>Inyecta toxinas al morder.</t>
  </si>
  <si>
    <t>Serpiente de cascabel</t>
  </si>
  <si>
    <t xml:space="preserve">La especie con menor persepcion </t>
  </si>
  <si>
    <t>Si el ataque es exitoso: el objetivo queda Envenenado.</t>
  </si>
  <si>
    <t>Envenenado</t>
  </si>
  <si>
    <t>Mandíbula Proyectable</t>
  </si>
  <si>
    <t>Se extiende rápidamente para capturar presas.</t>
  </si>
  <si>
    <t>Pez rape</t>
  </si>
  <si>
    <t xml:space="preserve">La especie con menor Percepción </t>
  </si>
  <si>
    <t>paralizado</t>
  </si>
  <si>
    <t>Dientes de Aguja</t>
  </si>
  <si>
    <t>Dientes finos para capturar presas pequeñas y resbaladizas.</t>
  </si>
  <si>
    <t>Delfín</t>
  </si>
  <si>
    <t>En Arrecife: +1 Ataque durante forrajeo y ataques.</t>
  </si>
  <si>
    <t>Mandíbula Filtradora</t>
  </si>
  <si>
    <t>Filtra alimento del entorno.</t>
  </si>
  <si>
    <t>Ballena azul</t>
  </si>
  <si>
    <t>Pico Perforador</t>
  </si>
  <si>
    <t>Perfora superficies para acceder a alimento.</t>
  </si>
  <si>
    <t>Pájaro carpintero</t>
  </si>
  <si>
    <t>Mandíbula Omnívora</t>
  </si>
  <si>
    <t>Adaptada a una dieta variada.</t>
  </si>
  <si>
    <t>Oso pardo</t>
  </si>
  <si>
    <t>la especie con menor velocidad</t>
  </si>
  <si>
    <t>En Bosque: +1 Ataque durante forrajeo y ataques.</t>
  </si>
  <si>
    <t>Molares Trituradores</t>
  </si>
  <si>
    <t>Molares fuertes para procesar vegetales.</t>
  </si>
  <si>
    <t>Caballo</t>
  </si>
  <si>
    <t>Hervivoro</t>
  </si>
  <si>
    <t xml:space="preserve"> ----</t>
  </si>
  <si>
    <t>Boca Succionadora</t>
  </si>
  <si>
    <t>Aspira presas completas mediante succión.</t>
  </si>
  <si>
    <t>Pez sapo</t>
  </si>
  <si>
    <t xml:space="preserve">paralizado </t>
  </si>
  <si>
    <t>Colmillos Curvos</t>
  </si>
  <si>
    <t>Retiene presas que forcejean.</t>
  </si>
  <si>
    <t>T-rex</t>
  </si>
  <si>
    <t xml:space="preserve">Mandíbula infecciosa </t>
  </si>
  <si>
    <t xml:space="preserve">Al morder las bacterias en su boca aplican efectos desconocidos </t>
  </si>
  <si>
    <t>Dragón de comodo</t>
  </si>
  <si>
    <t>La especie con menor defensa</t>
  </si>
  <si>
    <t>Si el ataque es exitoso: aplica un estado aleatorio a la especie objetivo.</t>
  </si>
  <si>
    <t>Un estado aleatorio</t>
  </si>
  <si>
    <t xml:space="preserve">Mandíbula con colmillos </t>
  </si>
  <si>
    <t xml:space="preserve">Posee molares y grandes colmillos a sus lados </t>
  </si>
  <si>
    <t xml:space="preserve">Jabalí </t>
  </si>
  <si>
    <t>Omnívoro</t>
  </si>
  <si>
    <t xml:space="preserve">La especie con menor defensa </t>
  </si>
  <si>
    <t>al atacar obtiene +1 de ataque</t>
  </si>
  <si>
    <t>Pelaje Espeso</t>
  </si>
  <si>
    <t>Pelaje</t>
  </si>
  <si>
    <t>Aísla del frío.</t>
  </si>
  <si>
    <t>Oso polar</t>
  </si>
  <si>
    <t>En Glaciares: +1 Armadura.</t>
  </si>
  <si>
    <t>Pelaje Impermeable</t>
  </si>
  <si>
    <t>Repele el agua y reduce pérdida de calor.</t>
  </si>
  <si>
    <t>Nutria</t>
  </si>
  <si>
    <t>Al jugarla: mira la mano de un rival y elige 1 carta; ese rival la descarta. | En Tundra: +1 Armadura.</t>
  </si>
  <si>
    <t>Plumas Aislantes</t>
  </si>
  <si>
    <t>Retienen aire y conservan calor.</t>
  </si>
  <si>
    <t>Pingüino</t>
  </si>
  <si>
    <t>+1 de velocidad si tiene una | En Glaciares: +1 Armadura.</t>
  </si>
  <si>
    <t>Caparazón Óseo</t>
  </si>
  <si>
    <t>Protección rígida contra golpes y mordidas.</t>
  </si>
  <si>
    <t>Pangolin</t>
  </si>
  <si>
    <t>Si recibe 0 de daño tras un ataque el atacante queda aturdido</t>
  </si>
  <si>
    <t>Exoesqueleto Quitinoso</t>
  </si>
  <si>
    <t>Protección externa segmentada y resistente.</t>
  </si>
  <si>
    <t>Escarabajo</t>
  </si>
  <si>
    <t>En Montaña: +1 Armadura.</t>
  </si>
  <si>
    <t>Escamas Reforzadas</t>
  </si>
  <si>
    <t>Cobertura escamosa que dificulta el daño.</t>
  </si>
  <si>
    <t>Cocodrilo</t>
  </si>
  <si>
    <t>En Manglar: +1 Armadura.</t>
  </si>
  <si>
    <t>Piel Tóxica</t>
  </si>
  <si>
    <t>Secreta sustancias tóxicas como defensa.</t>
  </si>
  <si>
    <t>Rana dardo</t>
  </si>
  <si>
    <t>Si es dañado por un ataque el atacante queda envenenado. | En Jungla: +1 Armadura.</t>
  </si>
  <si>
    <t>Piel Gruesa</t>
  </si>
  <si>
    <t>Capa dérmica resistente a impactos.</t>
  </si>
  <si>
    <t>Rinoceronte</t>
  </si>
  <si>
    <t>En Sabana: +1 Armadura.</t>
  </si>
  <si>
    <t>Patrón de Camuflaje</t>
  </si>
  <si>
    <t>Coloración que se mimetiza con el entorno.</t>
  </si>
  <si>
    <t>Leopardo</t>
  </si>
  <si>
    <t>En Jungla: +1 Armadura.</t>
  </si>
  <si>
    <t>Cromatogoros</t>
  </si>
  <si>
    <t>cambia de color para mimetizarse con el entorno</t>
  </si>
  <si>
    <t>camaleon</t>
  </si>
  <si>
    <t>En Desierto: +1 Armadura.</t>
  </si>
  <si>
    <t>Piel Elástica</t>
  </si>
  <si>
    <t>Reduce eficacia de mordidas y agarres.</t>
  </si>
  <si>
    <t>Foca</t>
  </si>
  <si>
    <t>Espinas Dérmicas</t>
  </si>
  <si>
    <t>Estructuras punzantes para disuadir ataques.</t>
  </si>
  <si>
    <t>Puercoespín</t>
  </si>
  <si>
    <t>Si es dañado por un ataque el atacante recibe 1 de daño | En Montaña Fría: +1 Armadura.</t>
  </si>
  <si>
    <t>Escamas Plateadas</t>
  </si>
  <si>
    <t>Brillos que confunden a depredadores o presas.</t>
  </si>
  <si>
    <t>Sardina</t>
  </si>
  <si>
    <t>Confundido</t>
  </si>
  <si>
    <t>Piel Rugosa</t>
  </si>
  <si>
    <t>Superficie áspera que dificulta el agarre.</t>
  </si>
  <si>
    <t>Tiburón</t>
  </si>
  <si>
    <t>Cobertura Estacional</t>
  </si>
  <si>
    <t>Cambia de grosor o color según la estación.</t>
  </si>
  <si>
    <t>Zorro ártico</t>
  </si>
  <si>
    <t>al jugarla el usuario selecciona si quiere subir o bajar la temperatura de la especie en 1 | En Tundra: +1 Armadura.</t>
  </si>
  <si>
    <t>Patas Saltadoras</t>
  </si>
  <si>
    <t>Extremidades</t>
  </si>
  <si>
    <t>Gran impulso para saltar y evadir.</t>
  </si>
  <si>
    <t>Canguro</t>
  </si>
  <si>
    <t>Garras Retráctiles</t>
  </si>
  <si>
    <t>Garras que se esconden para mantener filo.</t>
  </si>
  <si>
    <t>Gato</t>
  </si>
  <si>
    <t>Al jugarla: intercambia 2 cartas de tu mano con 2 cartas al azar de la mano de un rival. | En Montaña: +1 Velocidad.</t>
  </si>
  <si>
    <t>Aletas Potentes</t>
  </si>
  <si>
    <t>Propulsión acuática eficiente.</t>
  </si>
  <si>
    <t>Atún</t>
  </si>
  <si>
    <t>Patas Excavadoras</t>
  </si>
  <si>
    <t>Excavan refugios o buscan alimento bajo tierra.</t>
  </si>
  <si>
    <t>Topo</t>
  </si>
  <si>
    <t>al jugarla el usuario selecciona si quiere subir o bajar la temperatura de la especie en 2 | En Estepa: +1 Velocidad.</t>
  </si>
  <si>
    <t>Membrana Planeadora</t>
  </si>
  <si>
    <t>Alas</t>
  </si>
  <si>
    <t>Planeo entre árboles o desde altura.</t>
  </si>
  <si>
    <t>Ardilla voladora</t>
  </si>
  <si>
    <t>En Taiga: +1 Velocidad.</t>
  </si>
  <si>
    <t>Alas Batientes</t>
  </si>
  <si>
    <t>Vuelo activo y maniobrable.</t>
  </si>
  <si>
    <t>Halcón</t>
  </si>
  <si>
    <t>+ 2 de ataque contra especies con alas. | En Montaña: +1 Velocidad.</t>
  </si>
  <si>
    <t>Patas Largas</t>
  </si>
  <si>
    <t>Mayor zancada para desplazamiento rápido.</t>
  </si>
  <si>
    <t>Avestruz</t>
  </si>
  <si>
    <t>Al jugarla: elige una especie; aumenta su fertilidad en +1 (permanente).</t>
  </si>
  <si>
    <t>Almohadillas Adhesivas</t>
  </si>
  <si>
    <t>Se adhieren a superficies lisas.</t>
  </si>
  <si>
    <t>Gecko</t>
  </si>
  <si>
    <t>+2 de velocidad en jungla y montaña. | En Montaña: +1 Velocidad.</t>
  </si>
  <si>
    <t>Extremidades Prensiles</t>
  </si>
  <si>
    <t>Sujeción firme para trepar o manipular.</t>
  </si>
  <si>
    <t>Mono</t>
  </si>
  <si>
    <t>+2 de velocidad en jungla y bosque. | En Jungla: +1 Velocidad.</t>
  </si>
  <si>
    <t>Tentáculos</t>
  </si>
  <si>
    <t>Manipulación flexible y agarre múltiple.</t>
  </si>
  <si>
    <t>Pulpo</t>
  </si>
  <si>
    <t>Al jugarla: cambia 1 adaptación de una especie por 1 de tu mano.</t>
  </si>
  <si>
    <t>Aleta Dorsal Estabilizadora</t>
  </si>
  <si>
    <t>Mejora estabilidad durante el nado.</t>
  </si>
  <si>
    <t>Patas Anchas</t>
  </si>
  <si>
    <t>patas con amplia superficie para no hundirse en la nieve</t>
  </si>
  <si>
    <t xml:space="preserve">Liebre ártica </t>
  </si>
  <si>
    <t>+2 de velocidad en taiga, estepa, tundras, montaña fría y glaciares | En Glaciares: +1 Velocidad.</t>
  </si>
  <si>
    <t>Garras para Cavado</t>
  </si>
  <si>
    <t>Uñas robustas para remover suelo duro.</t>
  </si>
  <si>
    <t>Tejón</t>
  </si>
  <si>
    <t>Al jugarla: roba 1 carta del mazo de otro jugador</t>
  </si>
  <si>
    <t>Patas Robustas</t>
  </si>
  <si>
    <t>Extremidades fuertes para empuje y carga.</t>
  </si>
  <si>
    <t>Elefante</t>
  </si>
  <si>
    <t>En Sabana: +1 Velocidad.</t>
  </si>
  <si>
    <t>Extremidades Segmentadas</t>
  </si>
  <si>
    <t>Múltiples segmentos para movimientos finos.</t>
  </si>
  <si>
    <t>Saltamontes</t>
  </si>
  <si>
    <t>si es atacado por emboscada recibe un bono de +2 de velocidad</t>
  </si>
  <si>
    <t>Alas Cortas</t>
  </si>
  <si>
    <t>Despegue rápido y maniobra corta.</t>
  </si>
  <si>
    <t>Gallina</t>
  </si>
  <si>
    <t>mira la mano de otro jugador y desearle 2 cartas</t>
  </si>
  <si>
    <t>Patas de Aceleración</t>
  </si>
  <si>
    <t>Alta aceleración en carrera.</t>
  </si>
  <si>
    <t>Guepardo</t>
  </si>
  <si>
    <t xml:space="preserve">Almohadilla nupcial </t>
  </si>
  <si>
    <t xml:space="preserve">Aumenta adherencia durante acto reproductivo garantizando fecundación </t>
  </si>
  <si>
    <t>Rana</t>
  </si>
  <si>
    <t>En Manglar: +1 Velocidad.</t>
  </si>
  <si>
    <t>Regeneración de Extremidad</t>
  </si>
  <si>
    <t>Puede regenerar partes perdidas.</t>
  </si>
  <si>
    <t>Salamandra</t>
  </si>
  <si>
    <t>Al jugarla: cura 2 punto de salud de esta especie (si está dañada).</t>
  </si>
  <si>
    <t>Patas Trepadoras</t>
  </si>
  <si>
    <t>Adaptadas a escalar y agarrarse.</t>
  </si>
  <si>
    <t>Ardilla</t>
  </si>
  <si>
    <t>Mientras esté en juego: hay +1 planta adicional en la Zona de Forraje al crecer plantas.</t>
  </si>
  <si>
    <t>Cola Prensil</t>
  </si>
  <si>
    <t>Cola</t>
  </si>
  <si>
    <t>Sujeción y equilibrio al trepar.</t>
  </si>
  <si>
    <t>Mono araña</t>
  </si>
  <si>
    <t>Cola Látigo</t>
  </si>
  <si>
    <t>Golpe defensivo rápido.</t>
  </si>
  <si>
    <t>Iguana</t>
  </si>
  <si>
    <t>Al jugarla: busca una carta en tu mazo y ponla en tu mano, luego naraja el mazo</t>
  </si>
  <si>
    <t>Cola Propulsora</t>
  </si>
  <si>
    <t>Impulso fuerte en el agua.</t>
  </si>
  <si>
    <t>Cola Camuflada</t>
  </si>
  <si>
    <t>Se confunde con el entorno para evitar detección.</t>
  </si>
  <si>
    <t>Lagarto hoja</t>
  </si>
  <si>
    <t>Mientras esté en juego: los ataques contra esta especie requieren emboscada para ignorar su escape.</t>
  </si>
  <si>
    <t>Cola Venenosa</t>
  </si>
  <si>
    <t>Aguijón o toxina en la cola.</t>
  </si>
  <si>
    <t>Escorpión</t>
  </si>
  <si>
    <t>Si el ataque es exitoso: el objetivo queda Envenenado. | En Estepa: +1 Velocidad.</t>
  </si>
  <si>
    <t>Cola Afilada</t>
  </si>
  <si>
    <t>Estructura punzante para defensa o ataque.</t>
  </si>
  <si>
    <t>Raya</t>
  </si>
  <si>
    <t>Cola Equilibradora</t>
  </si>
  <si>
    <t>Ayuda a estabilizar giros y carrera.</t>
  </si>
  <si>
    <t>Autotomía Caudal</t>
  </si>
  <si>
    <t>Puede desprender la cola para escapar.</t>
  </si>
  <si>
    <t>si un rival te ataca a esta especie  y falla, ese rival queda Confundido.</t>
  </si>
  <si>
    <t>confundido</t>
  </si>
  <si>
    <t>Cola Plumosa</t>
  </si>
  <si>
    <t>Exhibición visual para cortejo o intimidación.</t>
  </si>
  <si>
    <t>Pavo real</t>
  </si>
  <si>
    <t>En Estepa: +1 Velocidad.</t>
  </si>
  <si>
    <t xml:space="preserve">Cola bufanda térmica </t>
  </si>
  <si>
    <t xml:space="preserve">usada para regular la temperatura </t>
  </si>
  <si>
    <t>Al jugarla: selcciona si quieres que tu especie tenga +1 o -1 de temperatura al tener está adaptación</t>
  </si>
  <si>
    <t>Cola Sensorial</t>
  </si>
  <si>
    <t>Detecta vibraciones o contacto del entorno.</t>
  </si>
  <si>
    <t>Rata topo desnuda</t>
  </si>
  <si>
    <t>Cola Reserva</t>
  </si>
  <si>
    <t>Almacena grasa/energía en la cola.</t>
  </si>
  <si>
    <t>Gecko cola gorda</t>
  </si>
  <si>
    <t>En lugar de eliminar un individuo de esta especie elimina esta carta y restaura por completo la salud de la especie.</t>
  </si>
  <si>
    <t>Cola Natatoria</t>
  </si>
  <si>
    <t>Mejora el nado prolongado.</t>
  </si>
  <si>
    <t>Castor</t>
  </si>
  <si>
    <t>Al jugarla: mira la mano de un rival y elige 1 carta; ese rival la descarta.</t>
  </si>
  <si>
    <t>Cola Cortante</t>
  </si>
  <si>
    <t>Golpe rápido con borde rígido.</t>
  </si>
  <si>
    <t>Varano</t>
  </si>
  <si>
    <t>Mientras esté en juego: si un rival te ataca y falla, ese rival queda Confundido.</t>
  </si>
  <si>
    <t>Cola Señuelo</t>
  </si>
  <si>
    <t>Atrae presas imitando un cebo.</t>
  </si>
  <si>
    <t>Víbora de cola de araña</t>
  </si>
  <si>
    <t>El próximo ataque por emboscada resulta en exito siempre, una vez usada está habilidad Descarta está adaptación. | En Estepa: +1 Velocidad.</t>
  </si>
  <si>
    <t>Visión Nocturna</t>
  </si>
  <si>
    <t>Sentido</t>
  </si>
  <si>
    <t>Detecta en baja luz.</t>
  </si>
  <si>
    <t>Búho</t>
  </si>
  <si>
    <t>En Taiga: +1 Percepción.</t>
  </si>
  <si>
    <t>Ojos Compuestos</t>
  </si>
  <si>
    <t>Campo visual amplio y sensibilidad al movimiento.</t>
  </si>
  <si>
    <t>Mosca</t>
  </si>
  <si>
    <t>En Llanura: +1 Percepción.</t>
  </si>
  <si>
    <t>Ecolocación</t>
  </si>
  <si>
    <t>Localiza por ecos de sonido.</t>
  </si>
  <si>
    <t>Murciélago</t>
  </si>
  <si>
    <t>En Montaña Fría: +1 Percepción.</t>
  </si>
  <si>
    <t>Bigotes Sensoriales</t>
  </si>
  <si>
    <t>Detecta vibraciones y contacto fino.</t>
  </si>
  <si>
    <t>Al jugarla: roba 1 carta</t>
  </si>
  <si>
    <t>Línea Lateral</t>
  </si>
  <si>
    <t>Detecta vibraciones y movimiento en el agua.</t>
  </si>
  <si>
    <t>Peces</t>
  </si>
  <si>
    <t>Olfato Agudo</t>
  </si>
  <si>
    <t>Rastrea señales químicas a distancia.</t>
  </si>
  <si>
    <t>Perro</t>
  </si>
  <si>
    <t>Al jugarla: mira las 5 primeras cartas de tu mazo, selecciona 1 y ponla en tu mano | En Taiga: +1 Percepción.</t>
  </si>
  <si>
    <t>Visión Térmica</t>
  </si>
  <si>
    <t>Detecta calor corporal.</t>
  </si>
  <si>
    <t>Boa constrictora</t>
  </si>
  <si>
    <t>Al jugarla: elige una especie rival; queda Confundida. | En Desierto: +1 Percepción.</t>
  </si>
  <si>
    <t>Audición Direccional</t>
  </si>
  <si>
    <t>Ubica la fuente de sonidos con precisión.</t>
  </si>
  <si>
    <t>Zorro</t>
  </si>
  <si>
    <t>Al jugarla: intercambia 1 cartas de tu mano con 1 cartas al azar de la mano de un rival. | En Taiga: +1 Percepción.</t>
  </si>
  <si>
    <t>Electrorrecepción</t>
  </si>
  <si>
    <t>Detecta campos eléctricos.</t>
  </si>
  <si>
    <t>Tiburón martillo</t>
  </si>
  <si>
    <t>Visión Panorámica</t>
  </si>
  <si>
    <t>Amplio ángulo visual para detectar amenazas.</t>
  </si>
  <si>
    <t>Ciervo</t>
  </si>
  <si>
    <t>Detección de Presión</t>
  </si>
  <si>
    <t>Percibe cambios de presión y corrientes.</t>
  </si>
  <si>
    <t>Mientras esté en juego: la especie puede pagar 1 comida para ignorar un estado negativo (una vez por ronda).</t>
  </si>
  <si>
    <t>Ojos Independientes</t>
  </si>
  <si>
    <t>Cada ojo observa en dirección distinta.</t>
  </si>
  <si>
    <t>Camaleón</t>
  </si>
  <si>
    <t>En Desierto: +1 Percepción.</t>
  </si>
  <si>
    <t>Sismorrecepción</t>
  </si>
  <si>
    <t>Detecta vibraciones del suelo.</t>
  </si>
  <si>
    <t>Super fuerza</t>
  </si>
  <si>
    <t>Detecta feromonas y rastros químicos.</t>
  </si>
  <si>
    <t>Hormiga</t>
  </si>
  <si>
    <t>Visión Ultravioleta</t>
  </si>
  <si>
    <t>Ve patrones UV en flores o plumaje.</t>
  </si>
  <si>
    <t>Abeja</t>
  </si>
  <si>
    <t>Audición Subacuática</t>
  </si>
  <si>
    <t>Percibe sonidos bajo el agua.</t>
  </si>
  <si>
    <t>obtiene mas 2 de persepcion en manglar, arecife, playa y Glaciares</t>
  </si>
  <si>
    <t>Sensores de Corriente</t>
  </si>
  <si>
    <t>Percibe flujo de aire y vibraciones sutiles.</t>
  </si>
  <si>
    <t>Araña</t>
  </si>
  <si>
    <t>Apotematismo</t>
  </si>
  <si>
    <t>coloración de advertencia que señala toxicidad o mal sabor.</t>
  </si>
  <si>
    <t>Osteodermos dérmicos</t>
  </si>
  <si>
    <t>placas oseas bajo la piel</t>
  </si>
  <si>
    <t>cocodrilo del nilo</t>
  </si>
  <si>
    <t>Conglobación</t>
  </si>
  <si>
    <t>Misceláneos</t>
  </si>
  <si>
    <t>enrollarse formando una esfera para proteger partes blandas.</t>
  </si>
  <si>
    <t>Bicho bolita</t>
  </si>
  <si>
    <t>En Bosque: +1 Salud.</t>
  </si>
  <si>
    <t>Autohémorragia refleja</t>
  </si>
  <si>
    <t>expulsar hemolinfa/sangre con compuestos repelentes.</t>
  </si>
  <si>
    <t>Escarabajos mariquita</t>
  </si>
  <si>
    <t>Sangre Caliente</t>
  </si>
  <si>
    <t>Mantiene temperatura interna constante.</t>
  </si>
  <si>
    <t>En Glaciares: +1 Salud.</t>
  </si>
  <si>
    <t>Hibernación</t>
  </si>
  <si>
    <t>Reduce actividad por periodos para ahorrar energía.</t>
  </si>
  <si>
    <t>Oso</t>
  </si>
  <si>
    <t>Mientras esté en juego: esta especie puede ignorar 1 consumo de alimento por ronda. | En Tundra: +1 Salud.</t>
  </si>
  <si>
    <t>Migración Estacional</t>
  </si>
  <si>
    <t>Viaja por estaciones para encontrar recursos.</t>
  </si>
  <si>
    <t>Ganso</t>
  </si>
  <si>
    <t>Al jugarla: mueve 2 planta desde la Zona de Forraje a tu reserva de comida. | En Tundra: +1 Salud.</t>
  </si>
  <si>
    <t>Reproducción Rápida</t>
  </si>
  <si>
    <t>Ciclos reproductivos cortos.</t>
  </si>
  <si>
    <t>Ratón</t>
  </si>
  <si>
    <t>Cuidado Parental</t>
  </si>
  <si>
    <t>Protege crías y mejora su supervivencia.</t>
  </si>
  <si>
    <t>En Sabana: +1 Salud.</t>
  </si>
  <si>
    <t>Antenas filiformes</t>
  </si>
  <si>
    <t>Antenas largas y delgadas que aumentan la detección química (feromonas y alimento) a distancia.</t>
  </si>
  <si>
    <t>Dioryctria sylvestrella</t>
  </si>
  <si>
    <t>En Llanura: +1 Salud.</t>
  </si>
  <si>
    <t>Bioluminiscencia</t>
  </si>
  <si>
    <t>Emite luz para atraer o confundir.</t>
  </si>
  <si>
    <t>Pez linterna</t>
  </si>
  <si>
    <t>Metamorfosis Completa</t>
  </si>
  <si>
    <t>Ciclo de vida con cambios drásticos entre etapas (larva–pupa–adulto), permitiendo roles distintos según la fase.</t>
  </si>
  <si>
    <t>Mariposa</t>
  </si>
  <si>
    <t>Defensa Química</t>
  </si>
  <si>
    <t>Expulsa sustancias defensivas.</t>
  </si>
  <si>
    <t>Zorrillo</t>
  </si>
  <si>
    <t>Tras realizar una defensa su atacante queda confundido</t>
  </si>
  <si>
    <t>Regeneración Celular</t>
  </si>
  <si>
    <t>Recupera tejidos dañados rápidamente.</t>
  </si>
  <si>
    <t>Axolote</t>
  </si>
  <si>
    <t>Al jugarla: cura 1 punto de salud de esta especie (si está dañada).</t>
  </si>
  <si>
    <t>Exhibición Intimidante</t>
  </si>
  <si>
    <t>Posturas/colores para asustar rivales.</t>
  </si>
  <si>
    <t>Cobra</t>
  </si>
  <si>
    <t>Al jugarla: elige una especie rival; queda en Terror.</t>
  </si>
  <si>
    <t>Terror</t>
  </si>
  <si>
    <t>Simbiosis</t>
  </si>
  <si>
    <t>Relación mutualista con otra especie.</t>
  </si>
  <si>
    <t>Pez payaso</t>
  </si>
  <si>
    <t>Resistencia a Toxinas</t>
  </si>
  <si>
    <t>Tolera venenos o toxinas.</t>
  </si>
  <si>
    <t>Mangosta</t>
  </si>
  <si>
    <t>inmunidad a todos los estados</t>
  </si>
  <si>
    <t>Especialización Dietaria</t>
  </si>
  <si>
    <t>Se alimenta de recursos muy específicos.</t>
  </si>
  <si>
    <t>Koala</t>
  </si>
  <si>
    <t>Mientras esté en juego: la primera vez que esta especie sea atacada cada ronda, el atacante pierde 1 velocidad para ese ataque.</t>
  </si>
  <si>
    <t xml:space="preserve">lengua extensible </t>
  </si>
  <si>
    <t xml:space="preserve">lengua pegajosa que se dispara para emboscadas </t>
  </si>
  <si>
    <t xml:space="preserve">camaleón </t>
  </si>
  <si>
    <t>si golpea a la presa está queda paralizada</t>
  </si>
  <si>
    <t>paralizada</t>
  </si>
  <si>
    <t>Molares de Pastoreo</t>
  </si>
  <si>
    <t>Molares anchos para cortar y triturar pastos.</t>
  </si>
  <si>
    <t>Bisonte</t>
  </si>
  <si>
    <t>Herbívoro</t>
  </si>
  <si>
    <t>Al forrajear: si extraes al menos 1 comida, obtén +1 comida extra | En Pradera: +1 Ataque durante forrajeo y ataques.</t>
  </si>
  <si>
    <t>Mandíbula Rumiadora</t>
  </si>
  <si>
    <t>Permite rumiar y aprovechar mejor los nutrientes.</t>
  </si>
  <si>
    <t>Vaca</t>
  </si>
  <si>
    <t>En Pradera: +1 Ataque durante forrajeo y ataques.</t>
  </si>
  <si>
    <t>Incisivos de Roedor</t>
  </si>
  <si>
    <t>Incisivos que crecen continuamente para cortar fibras duras.</t>
  </si>
  <si>
    <t>Al jugarla: puedes cambiar la carta de bioma activa por una al azar.</t>
  </si>
  <si>
    <t>Pico Folívoro</t>
  </si>
  <si>
    <t>Pico/mandíbula adaptada a hojas fibrosas.</t>
  </si>
  <si>
    <t>Mandíbula de Broteo</t>
  </si>
  <si>
    <t>Especializada en arrancar brotes y hojas altas.</t>
  </si>
  <si>
    <t>Jirafa</t>
  </si>
  <si>
    <t>Si no logro obtener fichas de comida en la fase de forrajeo, agrega 1 ficha de comida a esta especie</t>
  </si>
  <si>
    <t>Dentición Hipodonta</t>
  </si>
  <si>
    <t>Dientes altos para dietas abrasivas.</t>
  </si>
  <si>
    <t>Si forrajeas en Pradera/Estepa: obtén +1 comida adicional. | En Pradera: +1 Ataque durante forrajeo y ataques.</t>
  </si>
  <si>
    <t>Mandíbula Lofodonta</t>
  </si>
  <si>
    <t>Movimiento lateral para moler vegetales resistentes.</t>
  </si>
  <si>
    <t>Al forrajear: puedes repartir la comida obtenida entre 2 especies aliadas herbivoras adyacentes.</t>
  </si>
  <si>
    <t>Mandíbula Excavadora</t>
  </si>
  <si>
    <t>Permite arrancar raíces y tubérculos.</t>
  </si>
  <si>
    <t>Jabalí</t>
  </si>
  <si>
    <t>Boca de Filtrado Vegetal</t>
  </si>
  <si>
    <t>Filtra algas y microvegetales en agua somera.</t>
  </si>
  <si>
    <t>Flamenco</t>
  </si>
  <si>
    <t>En Playa: +1 Ataque durante forrajeo y ataques.</t>
  </si>
  <si>
    <t>Dientes en Peine</t>
  </si>
  <si>
    <t>Raspa algas adheridas a rocas.</t>
  </si>
  <si>
    <t>Iguana marina</t>
  </si>
  <si>
    <t>Pico Granívoro</t>
  </si>
  <si>
    <t>Pico fuerte para semillas duras.</t>
  </si>
  <si>
    <t>Pinzón</t>
  </si>
  <si>
    <t>Al jugarla : coloca 2 de comida sobre una de tus especies | En Taiga: +1 Ataque durante forrajeo y ataques.</t>
  </si>
  <si>
    <t>Mandíbula de Corte de Corteza</t>
  </si>
  <si>
    <t>Arranca corteza y brotes en épocas duras.</t>
  </si>
  <si>
    <t>Mientras esté en juego: si sufre un ataque fallido (el rival no logra alcanzarla), gana 1 comida (una vez por ronda).</t>
  </si>
  <si>
    <t>Boca Succionadora de Néctar</t>
  </si>
  <si>
    <t>Aprovecha néctar y polen.</t>
  </si>
  <si>
    <t>Colibrí</t>
  </si>
  <si>
    <t>En Jungla: +1 Ataque durante forrajeo y ataques.</t>
  </si>
  <si>
    <t>Mandíbula de Trituración de Conchas Vegetales</t>
  </si>
  <si>
    <t>Tritura frutos duros y cáscaras.</t>
  </si>
  <si>
    <t>Tortuga</t>
  </si>
  <si>
    <t>Dentición Selectiva</t>
  </si>
  <si>
    <t>Selecciona partes más nutritivas de plantas.</t>
  </si>
  <si>
    <t>Antílope</t>
  </si>
  <si>
    <t>Patas Dunares</t>
  </si>
  <si>
    <t>Extremidades largas para moverse sobre arena caliente.</t>
  </si>
  <si>
    <t>Fennec</t>
  </si>
  <si>
    <t>Pezuñas Escaladoras</t>
  </si>
  <si>
    <t>Pezuñas con agarre para roca y pendientes.</t>
  </si>
  <si>
    <t>Cabra montés</t>
  </si>
  <si>
    <t>Esta especie tiene +1 de velocidad en desierto, montaña y sabana | En Montaña Fría: +1 Velocidad.</t>
  </si>
  <si>
    <t>Placas de Corteza</t>
  </si>
  <si>
    <t>Placas dérmicas que imitan madera y protegen del roce.</t>
  </si>
  <si>
    <t>Pangolín</t>
  </si>
  <si>
    <t>Pelaje Ártico</t>
  </si>
  <si>
    <t>Capa densa que reduce pérdida de calor.</t>
  </si>
  <si>
    <t>Zancada de Pradera</t>
  </si>
  <si>
    <t>Paso largo y eficiente en terreno abierto.</t>
  </si>
  <si>
    <t>Ñandú</t>
  </si>
  <si>
    <t>En Pradera: +1 Velocidad.</t>
  </si>
  <si>
    <t>Aletas Litorales</t>
  </si>
  <si>
    <t>Aletas y membranas para moverse en aguas someras.</t>
  </si>
  <si>
    <t>Piel Osmorreguladora</t>
  </si>
  <si>
    <t>Regula sales y evita deshidratación en aguas mixtas.</t>
  </si>
  <si>
    <t>Escamas Reflectantes (Desierto)</t>
  </si>
  <si>
    <t>Superficie clara que refleja radiación y reduce estrés térmico.</t>
  </si>
  <si>
    <t>Lagarto del desierto</t>
  </si>
  <si>
    <t>Garras de Hielo</t>
  </si>
  <si>
    <t>Garras y almohadillas para tracción en hielo.</t>
  </si>
  <si>
    <t>Lince</t>
  </si>
  <si>
    <t>Esta especie tiene +1 de velocidad en Taiga, Estepa y Tundra | En Tundra: +1 Velocidad.</t>
  </si>
  <si>
    <t>Microhábitat Favorable</t>
  </si>
  <si>
    <t>Identifica refugios y rutas seguras del entorno.</t>
  </si>
  <si>
    <t>Suricata</t>
  </si>
  <si>
    <t>Al jugarla : roba una carta si estas en llanura o estepa | En Llanura: +1 Percepción.</t>
  </si>
  <si>
    <t>puntaje total</t>
  </si>
  <si>
    <t>puntaje esperado</t>
  </si>
  <si>
    <t xml:space="preserve">Esta especie tiene -1 de metabolismo en desierto, montaña y sabana </t>
  </si>
  <si>
    <t>En Bosque: +1 Ataque</t>
  </si>
  <si>
    <t xml:space="preserve">En Sabana: +1 Ataque </t>
  </si>
  <si>
    <t>obtiene +1 de velocidad en playa y arrecife</t>
  </si>
  <si>
    <t xml:space="preserve">Al jugarla: elige una especie rival; queda Confundida. </t>
  </si>
  <si>
    <t>Si ataca con éxito el defensor queda paralizado</t>
  </si>
  <si>
    <t>Esta especie obtiene 1 comida sin depender de la zona de forrageo en cada turno</t>
  </si>
  <si>
    <t xml:space="preserve"> manglares y arrecife +1 de velocidad</t>
  </si>
  <si>
    <t xml:space="preserve">Obtiene +1 de velocidad en manglares, playa y arrecife. -1 en otros biomas </t>
  </si>
  <si>
    <t xml:space="preserve">Obtiene +2 de velocidad en jungla y bosque. </t>
  </si>
  <si>
    <t xml:space="preserve">si está en un bioma de playa o manglar, obtiene más 2 de velocidad al atacar. </t>
  </si>
  <si>
    <t>Selecciona una especie, cada vez que alguna gane "fichas de comida" la otra tambien</t>
  </si>
  <si>
    <t xml:space="preserve">Si ataca con éxito el defensor queda paralizado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</si>
</sst>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8">
    <dxf>
      <fill>
        <patternFill>
          <bgColor rgb="FF92D050"/>
        </patternFill>
      </fill>
    </dxf>
    <dxf>
      <fill>
        <patternFill>
          <bgColor theme="0" tint="-0.149937437055574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3"/>
  <sheetViews>
    <sheetView tabSelected="1" topLeftCell="Q1" workbookViewId="0">
      <pane ySplit="1" topLeftCell="A117" activePane="bottomLeft" state="frozen"/>
      <selection activeCell="G1" sqref="G1"/>
      <selection pane="bottomLeft" activeCell="AI134" sqref="AI134"/>
    </sheetView>
  </sheetViews>
  <sheetFormatPr baseColWidth="10" defaultColWidth="8.88671875" defaultRowHeight="14.4" x14ac:dyDescent="0.3"/>
  <cols>
    <col min="1" max="1" width="6" customWidth="1"/>
    <col min="2" max="2" width="18" customWidth="1"/>
    <col min="3" max="3" width="14" customWidth="1"/>
    <col min="4" max="4" width="29.88671875" customWidth="1"/>
    <col min="5" max="6" width="16.6640625" customWidth="1"/>
    <col min="7" max="7" width="18" customWidth="1"/>
    <col min="8" max="8" width="6.33203125" customWidth="1"/>
    <col min="9" max="9" width="7.77734375" customWidth="1"/>
    <col min="10" max="10" width="6.109375" customWidth="1"/>
    <col min="11" max="11" width="7.5546875" customWidth="1"/>
    <col min="12" max="12" width="7.88671875" customWidth="1"/>
    <col min="13" max="13" width="7" customWidth="1"/>
    <col min="14" max="14" width="8.6640625" customWidth="1"/>
    <col min="15" max="15" width="8.77734375" customWidth="1"/>
    <col min="16" max="16" width="36.77734375" customWidth="1"/>
    <col min="17" max="17" width="18" customWidth="1"/>
  </cols>
  <sheetData>
    <row r="1" spans="1:33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28.8" customHeight="1" x14ac:dyDescent="0.3">
      <c r="A2" s="2">
        <v>1</v>
      </c>
      <c r="B2" s="2" t="s">
        <v>33</v>
      </c>
      <c r="C2" s="2" t="s">
        <v>34</v>
      </c>
      <c r="D2" s="3" t="s">
        <v>35</v>
      </c>
      <c r="E2" s="2" t="s">
        <v>36</v>
      </c>
      <c r="F2" s="2" t="s">
        <v>37</v>
      </c>
      <c r="G2" s="3" t="s">
        <v>38</v>
      </c>
      <c r="H2" s="4">
        <v>1</v>
      </c>
      <c r="I2" s="4"/>
      <c r="J2" s="4"/>
      <c r="K2" s="4"/>
      <c r="L2" s="4"/>
      <c r="M2" s="4"/>
      <c r="N2" s="4"/>
      <c r="O2" s="4"/>
      <c r="P2" s="3" t="s">
        <v>39</v>
      </c>
      <c r="Q2" s="3" t="s">
        <v>40</v>
      </c>
      <c r="R2">
        <f t="shared" ref="R2:R33" si="0">SUM(H2+I2+J2+K2+L2+((M2+N2)*-1))+IF(ISTEXT(P2),1,0)</f>
        <v>2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ht="28.8" customHeight="1" x14ac:dyDescent="0.3">
      <c r="A3" s="2">
        <v>2</v>
      </c>
      <c r="B3" s="2" t="s">
        <v>41</v>
      </c>
      <c r="C3" s="2" t="s">
        <v>34</v>
      </c>
      <c r="D3" s="3" t="s">
        <v>42</v>
      </c>
      <c r="E3" s="2" t="s">
        <v>43</v>
      </c>
      <c r="F3" s="2" t="s">
        <v>37</v>
      </c>
      <c r="G3" s="3" t="s">
        <v>44</v>
      </c>
      <c r="H3" s="4">
        <v>1</v>
      </c>
      <c r="I3" s="4"/>
      <c r="J3" s="4"/>
      <c r="K3" s="4"/>
      <c r="L3" s="4"/>
      <c r="M3" s="4"/>
      <c r="N3" s="4"/>
      <c r="O3" s="4"/>
      <c r="P3" s="3" t="s">
        <v>45</v>
      </c>
      <c r="Q3" s="3" t="s">
        <v>40</v>
      </c>
      <c r="R3">
        <f t="shared" si="0"/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ht="28.8" customHeight="1" x14ac:dyDescent="0.3">
      <c r="A4" s="2">
        <v>3</v>
      </c>
      <c r="B4" s="2" t="s">
        <v>46</v>
      </c>
      <c r="C4" s="2" t="s">
        <v>34</v>
      </c>
      <c r="D4" s="3" t="s">
        <v>47</v>
      </c>
      <c r="E4" s="2" t="s">
        <v>48</v>
      </c>
      <c r="F4" s="2" t="s">
        <v>37</v>
      </c>
      <c r="G4" s="3" t="s">
        <v>49</v>
      </c>
      <c r="H4" s="4">
        <v>1</v>
      </c>
      <c r="I4" s="4"/>
      <c r="J4" s="4"/>
      <c r="K4" s="4">
        <v>1</v>
      </c>
      <c r="L4" s="4"/>
      <c r="M4" s="4"/>
      <c r="N4" s="4"/>
      <c r="O4" s="4"/>
      <c r="P4" s="3" t="s">
        <v>50</v>
      </c>
      <c r="Q4" s="3" t="s">
        <v>40</v>
      </c>
      <c r="R4">
        <f t="shared" si="0"/>
        <v>3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ht="28.8" customHeight="1" x14ac:dyDescent="0.3">
      <c r="A5" s="2">
        <v>4</v>
      </c>
      <c r="B5" s="2" t="s">
        <v>51</v>
      </c>
      <c r="C5" s="2" t="s">
        <v>34</v>
      </c>
      <c r="D5" s="3" t="s">
        <v>52</v>
      </c>
      <c r="E5" s="2" t="s">
        <v>53</v>
      </c>
      <c r="F5" s="2" t="s">
        <v>37</v>
      </c>
      <c r="G5" s="3" t="s">
        <v>49</v>
      </c>
      <c r="H5" s="4">
        <v>1</v>
      </c>
      <c r="I5" s="4">
        <v>-1</v>
      </c>
      <c r="J5" s="4"/>
      <c r="K5" s="4"/>
      <c r="L5" s="4">
        <v>1</v>
      </c>
      <c r="M5" s="4"/>
      <c r="N5" s="4"/>
      <c r="O5" s="4"/>
      <c r="P5" s="3" t="s">
        <v>54</v>
      </c>
      <c r="Q5" s="3" t="s">
        <v>40</v>
      </c>
      <c r="R5">
        <f t="shared" si="0"/>
        <v>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t="28.8" customHeight="1" x14ac:dyDescent="0.3">
      <c r="A6" s="2">
        <v>5</v>
      </c>
      <c r="B6" s="2" t="s">
        <v>55</v>
      </c>
      <c r="C6" s="2" t="s">
        <v>34</v>
      </c>
      <c r="D6" s="3" t="s">
        <v>56</v>
      </c>
      <c r="E6" s="2" t="s">
        <v>57</v>
      </c>
      <c r="F6" s="2" t="s">
        <v>37</v>
      </c>
      <c r="G6" s="3" t="s">
        <v>58</v>
      </c>
      <c r="H6" s="4">
        <v>1</v>
      </c>
      <c r="I6" s="4"/>
      <c r="J6" s="4">
        <v>-1</v>
      </c>
      <c r="K6" s="4"/>
      <c r="L6" s="4">
        <v>1</v>
      </c>
      <c r="M6" s="4"/>
      <c r="N6" s="4"/>
      <c r="O6" s="4"/>
      <c r="P6" s="3" t="s">
        <v>59</v>
      </c>
      <c r="Q6" s="3" t="s">
        <v>60</v>
      </c>
      <c r="R6">
        <f t="shared" si="0"/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t="28.8" customHeight="1" x14ac:dyDescent="0.3">
      <c r="A7" s="2">
        <v>6</v>
      </c>
      <c r="B7" s="2" t="s">
        <v>61</v>
      </c>
      <c r="C7" s="2" t="s">
        <v>34</v>
      </c>
      <c r="D7" s="3" t="s">
        <v>62</v>
      </c>
      <c r="E7" s="2" t="s">
        <v>63</v>
      </c>
      <c r="F7" s="2" t="s">
        <v>37</v>
      </c>
      <c r="G7" s="3" t="s">
        <v>64</v>
      </c>
      <c r="H7" s="4">
        <v>1</v>
      </c>
      <c r="I7" s="4"/>
      <c r="J7" s="4"/>
      <c r="K7" s="4">
        <v>1</v>
      </c>
      <c r="L7" s="4"/>
      <c r="M7" s="4"/>
      <c r="N7" s="4"/>
      <c r="O7" s="4"/>
      <c r="P7" s="3" t="s">
        <v>517</v>
      </c>
      <c r="Q7" s="3" t="s">
        <v>65</v>
      </c>
      <c r="R7">
        <f t="shared" si="0"/>
        <v>3</v>
      </c>
      <c r="S7">
        <v>0</v>
      </c>
      <c r="T7">
        <v>0</v>
      </c>
      <c r="U7">
        <v>0</v>
      </c>
      <c r="V7">
        <v>0</v>
      </c>
      <c r="W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t="28.8" customHeight="1" x14ac:dyDescent="0.3">
      <c r="A8" s="2">
        <v>7</v>
      </c>
      <c r="B8" s="2" t="s">
        <v>66</v>
      </c>
      <c r="C8" s="2" t="s">
        <v>34</v>
      </c>
      <c r="D8" s="3" t="s">
        <v>67</v>
      </c>
      <c r="E8" s="2" t="s">
        <v>68</v>
      </c>
      <c r="F8" s="2" t="s">
        <v>37</v>
      </c>
      <c r="G8" s="3" t="s">
        <v>64</v>
      </c>
      <c r="H8" s="4">
        <v>1</v>
      </c>
      <c r="I8" s="4"/>
      <c r="J8" s="4"/>
      <c r="K8" s="4"/>
      <c r="L8" s="4">
        <v>1</v>
      </c>
      <c r="M8" s="4"/>
      <c r="N8" s="4"/>
      <c r="O8" s="4"/>
      <c r="P8" s="3" t="s">
        <v>69</v>
      </c>
      <c r="Q8" s="3" t="s">
        <v>40</v>
      </c>
      <c r="R8">
        <f t="shared" si="0"/>
        <v>3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t="28.8" customHeight="1" x14ac:dyDescent="0.3">
      <c r="A9" s="2">
        <v>8</v>
      </c>
      <c r="B9" s="2" t="s">
        <v>70</v>
      </c>
      <c r="C9" s="2" t="s">
        <v>34</v>
      </c>
      <c r="D9" s="3" t="s">
        <v>71</v>
      </c>
      <c r="E9" s="2" t="s">
        <v>72</v>
      </c>
      <c r="F9" s="2" t="s">
        <v>37</v>
      </c>
      <c r="G9" s="3" t="s">
        <v>49</v>
      </c>
      <c r="H9" s="4"/>
      <c r="I9" s="4"/>
      <c r="J9" s="4"/>
      <c r="K9" s="4"/>
      <c r="L9" s="4">
        <v>1</v>
      </c>
      <c r="M9" s="4"/>
      <c r="N9" s="4"/>
      <c r="O9" s="5"/>
      <c r="P9" s="3" t="s">
        <v>511</v>
      </c>
      <c r="Q9" s="3" t="s">
        <v>40</v>
      </c>
      <c r="R9">
        <f t="shared" si="0"/>
        <v>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t="28.8" customHeight="1" x14ac:dyDescent="0.3">
      <c r="A10" s="2">
        <v>9</v>
      </c>
      <c r="B10" s="2" t="s">
        <v>73</v>
      </c>
      <c r="C10" s="2" t="s">
        <v>34</v>
      </c>
      <c r="D10" s="3" t="s">
        <v>74</v>
      </c>
      <c r="E10" s="2" t="s">
        <v>75</v>
      </c>
      <c r="F10" s="2" t="s">
        <v>37</v>
      </c>
      <c r="G10" s="3" t="s">
        <v>64</v>
      </c>
      <c r="H10" s="4"/>
      <c r="I10" s="4"/>
      <c r="J10" s="4"/>
      <c r="K10" s="4"/>
      <c r="L10" s="4">
        <v>2</v>
      </c>
      <c r="M10" s="4"/>
      <c r="N10" s="4"/>
      <c r="O10" s="5"/>
      <c r="P10" s="3"/>
      <c r="Q10" s="3" t="s">
        <v>40</v>
      </c>
      <c r="R10">
        <f t="shared" si="0"/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ht="28.8" customHeight="1" x14ac:dyDescent="0.3">
      <c r="A11" s="2">
        <v>10</v>
      </c>
      <c r="B11" s="2" t="s">
        <v>76</v>
      </c>
      <c r="C11" s="2" t="s">
        <v>34</v>
      </c>
      <c r="D11" s="3" t="s">
        <v>77</v>
      </c>
      <c r="E11" s="2" t="s">
        <v>78</v>
      </c>
      <c r="F11" s="2" t="s">
        <v>37</v>
      </c>
      <c r="G11" s="3" t="s">
        <v>79</v>
      </c>
      <c r="H11" s="4">
        <v>1</v>
      </c>
      <c r="I11" s="4"/>
      <c r="J11" s="4"/>
      <c r="K11" s="4"/>
      <c r="L11" s="4"/>
      <c r="M11" s="4"/>
      <c r="N11" s="4"/>
      <c r="O11" s="5"/>
      <c r="P11" s="3" t="s">
        <v>506</v>
      </c>
      <c r="Q11" s="3" t="s">
        <v>40</v>
      </c>
      <c r="R11">
        <f t="shared" si="0"/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ht="28.8" customHeight="1" x14ac:dyDescent="0.3">
      <c r="A12" s="2">
        <v>11</v>
      </c>
      <c r="B12" s="2" t="s">
        <v>81</v>
      </c>
      <c r="C12" s="2" t="s">
        <v>34</v>
      </c>
      <c r="D12" s="3" t="s">
        <v>82</v>
      </c>
      <c r="E12" s="2" t="s">
        <v>83</v>
      </c>
      <c r="F12" s="2" t="s">
        <v>84</v>
      </c>
      <c r="G12" s="3" t="s">
        <v>85</v>
      </c>
      <c r="H12" s="4">
        <v>1</v>
      </c>
      <c r="I12" s="4"/>
      <c r="J12" s="4"/>
      <c r="K12" s="4"/>
      <c r="L12" s="4"/>
      <c r="M12" s="4"/>
      <c r="N12" s="4"/>
      <c r="O12" s="5"/>
      <c r="P12" s="3"/>
      <c r="Q12" s="3" t="s">
        <v>40</v>
      </c>
      <c r="R12">
        <f t="shared" si="0"/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t="28.8" customHeight="1" x14ac:dyDescent="0.3">
      <c r="A13" s="2">
        <v>12</v>
      </c>
      <c r="B13" s="2" t="s">
        <v>86</v>
      </c>
      <c r="C13" s="2" t="s">
        <v>34</v>
      </c>
      <c r="D13" s="3" t="s">
        <v>87</v>
      </c>
      <c r="E13" s="2" t="s">
        <v>88</v>
      </c>
      <c r="F13" s="2" t="s">
        <v>37</v>
      </c>
      <c r="G13" s="3" t="s">
        <v>64</v>
      </c>
      <c r="H13" s="4"/>
      <c r="I13" s="4"/>
      <c r="J13" s="4"/>
      <c r="K13" s="4"/>
      <c r="L13" s="4">
        <v>2</v>
      </c>
      <c r="M13" s="4"/>
      <c r="N13" s="4"/>
      <c r="O13" s="5"/>
      <c r="P13" s="3" t="s">
        <v>510</v>
      </c>
      <c r="Q13" s="3" t="s">
        <v>89</v>
      </c>
      <c r="R13">
        <f t="shared" si="0"/>
        <v>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t="28.8" customHeight="1" x14ac:dyDescent="0.3">
      <c r="A14" s="2">
        <v>13</v>
      </c>
      <c r="B14" s="2" t="s">
        <v>90</v>
      </c>
      <c r="C14" s="2" t="s">
        <v>34</v>
      </c>
      <c r="D14" s="3" t="s">
        <v>91</v>
      </c>
      <c r="E14" s="2" t="s">
        <v>92</v>
      </c>
      <c r="F14" s="2" t="s">
        <v>37</v>
      </c>
      <c r="G14" s="3" t="s">
        <v>58</v>
      </c>
      <c r="H14" s="4">
        <v>2</v>
      </c>
      <c r="I14" s="4"/>
      <c r="J14" s="4"/>
      <c r="K14" s="4">
        <v>-1</v>
      </c>
      <c r="L14" s="4"/>
      <c r="M14" s="4"/>
      <c r="N14" s="4"/>
      <c r="O14" s="5"/>
      <c r="P14" s="3" t="s">
        <v>507</v>
      </c>
      <c r="Q14" s="3" t="s">
        <v>40</v>
      </c>
      <c r="R14">
        <f t="shared" si="0"/>
        <v>2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ht="28.8" customHeight="1" x14ac:dyDescent="0.3">
      <c r="A15" s="2">
        <v>14</v>
      </c>
      <c r="B15" s="2" t="s">
        <v>93</v>
      </c>
      <c r="C15" s="2" t="s">
        <v>34</v>
      </c>
      <c r="D15" s="3" t="s">
        <v>94</v>
      </c>
      <c r="E15" s="2" t="s">
        <v>95</v>
      </c>
      <c r="F15" s="2" t="s">
        <v>37</v>
      </c>
      <c r="G15" s="3" t="s">
        <v>96</v>
      </c>
      <c r="H15" s="4">
        <v>2</v>
      </c>
      <c r="I15" s="4"/>
      <c r="J15" s="4"/>
      <c r="K15" s="4"/>
      <c r="L15" s="4"/>
      <c r="M15" s="4"/>
      <c r="N15" s="4"/>
      <c r="O15" s="5"/>
      <c r="P15" s="3" t="s">
        <v>97</v>
      </c>
      <c r="Q15" s="3" t="s">
        <v>98</v>
      </c>
      <c r="R15">
        <f t="shared" si="0"/>
        <v>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t="28.8" customHeight="1" x14ac:dyDescent="0.3">
      <c r="A16" s="2">
        <v>15</v>
      </c>
      <c r="B16" s="2" t="s">
        <v>99</v>
      </c>
      <c r="C16" s="2" t="s">
        <v>34</v>
      </c>
      <c r="D16" s="3" t="s">
        <v>100</v>
      </c>
      <c r="E16" s="2" t="s">
        <v>101</v>
      </c>
      <c r="F16" s="2" t="s">
        <v>102</v>
      </c>
      <c r="G16" s="3" t="s">
        <v>103</v>
      </c>
      <c r="H16" s="4">
        <v>1</v>
      </c>
      <c r="I16" s="4">
        <v>2</v>
      </c>
      <c r="J16" s="4"/>
      <c r="K16" s="4">
        <v>-1</v>
      </c>
      <c r="L16" s="4">
        <v>-1</v>
      </c>
      <c r="M16" s="4"/>
      <c r="N16" s="4"/>
      <c r="O16" s="5"/>
      <c r="P16" s="3" t="s">
        <v>104</v>
      </c>
      <c r="Q16" s="3" t="s">
        <v>40</v>
      </c>
      <c r="R16">
        <f t="shared" si="0"/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3">
      <c r="A17" s="2">
        <v>16</v>
      </c>
      <c r="B17" s="2" t="s">
        <v>105</v>
      </c>
      <c r="C17" s="2" t="s">
        <v>106</v>
      </c>
      <c r="D17" s="3" t="s">
        <v>107</v>
      </c>
      <c r="E17" s="2" t="s">
        <v>108</v>
      </c>
      <c r="F17" s="2"/>
      <c r="G17" s="3"/>
      <c r="H17" s="4"/>
      <c r="I17" s="4">
        <v>1</v>
      </c>
      <c r="J17" s="4">
        <v>1</v>
      </c>
      <c r="K17" s="4">
        <v>-1</v>
      </c>
      <c r="L17" s="4"/>
      <c r="M17" s="4"/>
      <c r="N17" s="4"/>
      <c r="O17" s="5">
        <v>1</v>
      </c>
      <c r="P17" s="3" t="s">
        <v>109</v>
      </c>
      <c r="Q17" s="3" t="s">
        <v>40</v>
      </c>
      <c r="R17">
        <f t="shared" si="0"/>
        <v>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</row>
    <row r="18" spans="1:33" ht="28.8" customHeight="1" x14ac:dyDescent="0.3">
      <c r="A18" s="2">
        <v>17</v>
      </c>
      <c r="B18" s="2" t="s">
        <v>110</v>
      </c>
      <c r="C18" s="2" t="s">
        <v>106</v>
      </c>
      <c r="D18" s="3" t="s">
        <v>111</v>
      </c>
      <c r="E18" s="2" t="s">
        <v>112</v>
      </c>
      <c r="F18" s="2"/>
      <c r="G18" s="3"/>
      <c r="H18" s="4"/>
      <c r="I18" s="4">
        <v>1</v>
      </c>
      <c r="J18" s="4">
        <v>1</v>
      </c>
      <c r="K18" s="4">
        <v>1</v>
      </c>
      <c r="L18" s="4"/>
      <c r="M18" s="4"/>
      <c r="N18" s="4"/>
      <c r="O18" s="5">
        <v>1</v>
      </c>
      <c r="P18" s="3" t="s">
        <v>113</v>
      </c>
      <c r="Q18" s="3" t="s">
        <v>40</v>
      </c>
      <c r="R18">
        <f t="shared" si="0"/>
        <v>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</row>
    <row r="19" spans="1:33" ht="28.8" x14ac:dyDescent="0.3">
      <c r="A19" s="2">
        <v>18</v>
      </c>
      <c r="B19" s="2" t="s">
        <v>114</v>
      </c>
      <c r="C19" s="2" t="s">
        <v>106</v>
      </c>
      <c r="D19" s="3" t="s">
        <v>115</v>
      </c>
      <c r="E19" s="2" t="s">
        <v>116</v>
      </c>
      <c r="F19" s="2"/>
      <c r="G19" s="3"/>
      <c r="H19" s="4"/>
      <c r="I19" s="4"/>
      <c r="J19" s="4"/>
      <c r="K19" s="4">
        <v>-1</v>
      </c>
      <c r="L19" s="4"/>
      <c r="M19" s="4"/>
      <c r="N19" s="4"/>
      <c r="O19" s="5">
        <v>1</v>
      </c>
      <c r="P19" s="3" t="s">
        <v>117</v>
      </c>
      <c r="Q19" s="3" t="s">
        <v>40</v>
      </c>
      <c r="R19">
        <f t="shared" si="0"/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</row>
    <row r="20" spans="1:33" ht="28.8" customHeight="1" x14ac:dyDescent="0.3">
      <c r="A20" s="2">
        <v>19</v>
      </c>
      <c r="B20" s="2" t="s">
        <v>118</v>
      </c>
      <c r="C20" s="2" t="s">
        <v>106</v>
      </c>
      <c r="D20" s="3" t="s">
        <v>119</v>
      </c>
      <c r="E20" s="2" t="s">
        <v>120</v>
      </c>
      <c r="F20" s="2"/>
      <c r="G20" s="3"/>
      <c r="H20" s="4"/>
      <c r="I20" s="4">
        <v>4</v>
      </c>
      <c r="J20" s="4"/>
      <c r="K20" s="4">
        <v>-2</v>
      </c>
      <c r="L20" s="4"/>
      <c r="M20" s="4"/>
      <c r="N20" s="4"/>
      <c r="O20" s="5">
        <v>1</v>
      </c>
      <c r="P20" s="3" t="s">
        <v>121</v>
      </c>
      <c r="Q20" s="3" t="s">
        <v>156</v>
      </c>
      <c r="R20">
        <f t="shared" si="0"/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ht="28.8" customHeight="1" x14ac:dyDescent="0.3">
      <c r="A21" s="2">
        <v>20</v>
      </c>
      <c r="B21" s="2" t="s">
        <v>122</v>
      </c>
      <c r="C21" s="2" t="s">
        <v>106</v>
      </c>
      <c r="D21" s="3" t="s">
        <v>123</v>
      </c>
      <c r="E21" s="2" t="s">
        <v>124</v>
      </c>
      <c r="F21" s="2"/>
      <c r="G21" s="3"/>
      <c r="H21" s="4"/>
      <c r="I21" s="4">
        <v>2</v>
      </c>
      <c r="J21" s="4"/>
      <c r="K21" s="4">
        <v>1</v>
      </c>
      <c r="L21" s="4"/>
      <c r="M21" s="4"/>
      <c r="N21" s="4"/>
      <c r="O21" s="5">
        <v>-2</v>
      </c>
      <c r="P21" s="3" t="s">
        <v>125</v>
      </c>
      <c r="Q21" s="3" t="s">
        <v>40</v>
      </c>
      <c r="R21">
        <f t="shared" si="0"/>
        <v>4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t="28.8" customHeight="1" x14ac:dyDescent="0.3">
      <c r="A22" s="2">
        <v>21</v>
      </c>
      <c r="B22" s="2" t="s">
        <v>126</v>
      </c>
      <c r="C22" s="2" t="s">
        <v>106</v>
      </c>
      <c r="D22" s="3" t="s">
        <v>127</v>
      </c>
      <c r="E22" s="2" t="s">
        <v>128</v>
      </c>
      <c r="F22" s="2"/>
      <c r="G22" s="3"/>
      <c r="H22" s="4"/>
      <c r="I22" s="4">
        <v>1</v>
      </c>
      <c r="J22" s="4">
        <v>1</v>
      </c>
      <c r="K22" s="4"/>
      <c r="L22" s="4"/>
      <c r="M22" s="4"/>
      <c r="N22" s="4"/>
      <c r="O22" s="5">
        <v>-1</v>
      </c>
      <c r="P22" s="3" t="s">
        <v>129</v>
      </c>
      <c r="Q22" s="3" t="s">
        <v>40</v>
      </c>
      <c r="R22">
        <f t="shared" si="0"/>
        <v>3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ht="28.8" customHeight="1" x14ac:dyDescent="0.3">
      <c r="A23" s="2">
        <v>22</v>
      </c>
      <c r="B23" s="2" t="s">
        <v>130</v>
      </c>
      <c r="C23" s="2" t="s">
        <v>106</v>
      </c>
      <c r="D23" s="3" t="s">
        <v>131</v>
      </c>
      <c r="E23" s="2" t="s">
        <v>132</v>
      </c>
      <c r="F23" s="2"/>
      <c r="G23" s="3"/>
      <c r="H23" s="4"/>
      <c r="I23" s="4"/>
      <c r="J23" s="4">
        <v>1</v>
      </c>
      <c r="K23" s="4"/>
      <c r="L23" s="4">
        <v>1</v>
      </c>
      <c r="M23" s="4"/>
      <c r="N23" s="4"/>
      <c r="O23" s="5">
        <v>-1</v>
      </c>
      <c r="P23" s="3" t="s">
        <v>133</v>
      </c>
      <c r="Q23" s="3" t="s">
        <v>60</v>
      </c>
      <c r="R23">
        <f t="shared" si="0"/>
        <v>3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ht="28.8" customHeight="1" x14ac:dyDescent="0.3">
      <c r="A24" s="2">
        <v>23</v>
      </c>
      <c r="B24" s="2" t="s">
        <v>134</v>
      </c>
      <c r="C24" s="2" t="s">
        <v>106</v>
      </c>
      <c r="D24" s="3" t="s">
        <v>135</v>
      </c>
      <c r="E24" s="2" t="s">
        <v>136</v>
      </c>
      <c r="F24" s="2"/>
      <c r="G24" s="3"/>
      <c r="H24" s="4"/>
      <c r="I24" s="4">
        <v>3</v>
      </c>
      <c r="J24" s="4">
        <v>3</v>
      </c>
      <c r="K24" s="4">
        <v>-4</v>
      </c>
      <c r="L24" s="4">
        <v>1</v>
      </c>
      <c r="M24" s="4"/>
      <c r="N24" s="4"/>
      <c r="O24" s="5"/>
      <c r="P24" s="3" t="s">
        <v>137</v>
      </c>
      <c r="Q24" s="3" t="s">
        <v>40</v>
      </c>
      <c r="R24">
        <f t="shared" si="0"/>
        <v>4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ht="28.8" customHeight="1" x14ac:dyDescent="0.3">
      <c r="A25" s="2">
        <v>24</v>
      </c>
      <c r="B25" s="2" t="s">
        <v>138</v>
      </c>
      <c r="C25" s="2" t="s">
        <v>106</v>
      </c>
      <c r="D25" s="3" t="s">
        <v>139</v>
      </c>
      <c r="E25" s="2" t="s">
        <v>140</v>
      </c>
      <c r="F25" s="2"/>
      <c r="G25" s="3"/>
      <c r="H25" s="4"/>
      <c r="I25" s="4"/>
      <c r="J25" s="4"/>
      <c r="K25" s="4"/>
      <c r="L25" s="4">
        <v>2</v>
      </c>
      <c r="M25" s="4"/>
      <c r="N25" s="4"/>
      <c r="O25" s="5"/>
      <c r="P25" s="3" t="s">
        <v>141</v>
      </c>
      <c r="Q25" s="3" t="s">
        <v>40</v>
      </c>
      <c r="R25">
        <f t="shared" si="0"/>
        <v>3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ht="28.8" customHeight="1" x14ac:dyDescent="0.3">
      <c r="A26" s="2">
        <v>25</v>
      </c>
      <c r="B26" s="2" t="s">
        <v>142</v>
      </c>
      <c r="C26" s="2" t="s">
        <v>106</v>
      </c>
      <c r="D26" s="3" t="s">
        <v>143</v>
      </c>
      <c r="E26" s="2" t="s">
        <v>144</v>
      </c>
      <c r="F26" s="2"/>
      <c r="G26" s="3"/>
      <c r="H26" s="4"/>
      <c r="I26" s="4">
        <v>-1</v>
      </c>
      <c r="J26" s="4"/>
      <c r="K26" s="4"/>
      <c r="L26" s="4">
        <v>3</v>
      </c>
      <c r="M26" s="4"/>
      <c r="N26" s="4"/>
      <c r="O26" s="5"/>
      <c r="P26" s="3" t="s">
        <v>145</v>
      </c>
      <c r="Q26" s="3" t="s">
        <v>40</v>
      </c>
      <c r="R26">
        <f t="shared" si="0"/>
        <v>3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ht="28.8" customHeight="1" x14ac:dyDescent="0.3">
      <c r="A27" s="2">
        <v>26</v>
      </c>
      <c r="B27" s="2" t="s">
        <v>146</v>
      </c>
      <c r="C27" s="2" t="s">
        <v>106</v>
      </c>
      <c r="D27" s="3" t="s">
        <v>147</v>
      </c>
      <c r="E27" s="2" t="s">
        <v>148</v>
      </c>
      <c r="F27" s="2"/>
      <c r="G27" s="3"/>
      <c r="H27" s="4"/>
      <c r="I27" s="4">
        <v>1</v>
      </c>
      <c r="J27" s="4">
        <v>1</v>
      </c>
      <c r="K27" s="4">
        <v>1</v>
      </c>
      <c r="L27" s="4"/>
      <c r="M27" s="4"/>
      <c r="N27" s="4"/>
      <c r="O27" s="5">
        <v>-1</v>
      </c>
      <c r="P27" s="3" t="s">
        <v>508</v>
      </c>
      <c r="Q27" s="3" t="s">
        <v>40</v>
      </c>
      <c r="R27">
        <f t="shared" si="0"/>
        <v>4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ht="28.8" customHeight="1" x14ac:dyDescent="0.3">
      <c r="A28" s="2">
        <v>27</v>
      </c>
      <c r="B28" s="2" t="s">
        <v>149</v>
      </c>
      <c r="C28" s="2" t="s">
        <v>106</v>
      </c>
      <c r="D28" s="3" t="s">
        <v>150</v>
      </c>
      <c r="E28" s="2" t="s">
        <v>151</v>
      </c>
      <c r="F28" s="2"/>
      <c r="G28" s="3"/>
      <c r="H28" s="4"/>
      <c r="I28" s="4">
        <v>1</v>
      </c>
      <c r="J28" s="4"/>
      <c r="K28" s="4">
        <v>-1</v>
      </c>
      <c r="L28" s="4"/>
      <c r="M28" s="4"/>
      <c r="N28" s="4"/>
      <c r="O28" s="5"/>
      <c r="P28" s="3" t="s">
        <v>152</v>
      </c>
      <c r="Q28" s="3" t="s">
        <v>40</v>
      </c>
      <c r="R28">
        <f t="shared" si="0"/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</row>
    <row r="29" spans="1:33" ht="28.8" customHeight="1" x14ac:dyDescent="0.3">
      <c r="A29" s="2">
        <v>28</v>
      </c>
      <c r="B29" s="2" t="s">
        <v>153</v>
      </c>
      <c r="C29" s="2" t="s">
        <v>106</v>
      </c>
      <c r="D29" s="3" t="s">
        <v>154</v>
      </c>
      <c r="E29" s="2" t="s">
        <v>155</v>
      </c>
      <c r="F29" s="2"/>
      <c r="G29" s="3"/>
      <c r="H29" s="4"/>
      <c r="I29" s="4">
        <v>1</v>
      </c>
      <c r="J29" s="4"/>
      <c r="K29" s="4">
        <v>1</v>
      </c>
      <c r="L29" s="4">
        <v>-2</v>
      </c>
      <c r="M29" s="4"/>
      <c r="N29" s="4"/>
      <c r="O29" s="5">
        <v>-1</v>
      </c>
      <c r="P29" s="3" t="s">
        <v>509</v>
      </c>
      <c r="Q29" s="3" t="s">
        <v>156</v>
      </c>
      <c r="R29">
        <f t="shared" si="0"/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ht="28.8" customHeight="1" x14ac:dyDescent="0.3">
      <c r="A30" s="2">
        <v>29</v>
      </c>
      <c r="B30" s="2" t="s">
        <v>157</v>
      </c>
      <c r="C30" s="2" t="s">
        <v>106</v>
      </c>
      <c r="D30" s="3" t="s">
        <v>158</v>
      </c>
      <c r="E30" s="2" t="s">
        <v>159</v>
      </c>
      <c r="F30" s="2"/>
      <c r="G30" s="3"/>
      <c r="H30" s="4"/>
      <c r="I30" s="4"/>
      <c r="J30" s="4">
        <v>2</v>
      </c>
      <c r="K30" s="4"/>
      <c r="L30" s="4"/>
      <c r="M30" s="4"/>
      <c r="N30" s="4"/>
      <c r="O30" s="5">
        <v>1</v>
      </c>
      <c r="P30" s="3"/>
      <c r="Q30" s="3" t="s">
        <v>40</v>
      </c>
      <c r="R30">
        <f t="shared" si="0"/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ht="43.2" customHeight="1" x14ac:dyDescent="0.3">
      <c r="A31" s="2">
        <v>30</v>
      </c>
      <c r="B31" s="2" t="s">
        <v>160</v>
      </c>
      <c r="C31" s="2" t="s">
        <v>106</v>
      </c>
      <c r="D31" s="3" t="s">
        <v>161</v>
      </c>
      <c r="E31" s="2" t="s">
        <v>162</v>
      </c>
      <c r="F31" s="2"/>
      <c r="G31" s="3"/>
      <c r="H31" s="4"/>
      <c r="I31" s="4">
        <v>1</v>
      </c>
      <c r="J31" s="4">
        <v>1</v>
      </c>
      <c r="K31" s="4"/>
      <c r="L31" s="4"/>
      <c r="M31" s="4"/>
      <c r="N31" s="4"/>
      <c r="O31" s="5"/>
      <c r="P31" s="3" t="s">
        <v>163</v>
      </c>
      <c r="Q31" s="3" t="s">
        <v>40</v>
      </c>
      <c r="R31">
        <f t="shared" si="0"/>
        <v>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</row>
    <row r="32" spans="1:33" ht="28.8" customHeight="1" x14ac:dyDescent="0.3">
      <c r="A32" s="2">
        <v>31</v>
      </c>
      <c r="B32" s="2" t="s">
        <v>164</v>
      </c>
      <c r="C32" s="2" t="s">
        <v>165</v>
      </c>
      <c r="D32" s="3" t="s">
        <v>166</v>
      </c>
      <c r="E32" s="2" t="s">
        <v>167</v>
      </c>
      <c r="F32" s="2"/>
      <c r="G32" s="3"/>
      <c r="H32" s="4"/>
      <c r="I32" s="4"/>
      <c r="J32" s="4"/>
      <c r="K32" s="4">
        <v>2</v>
      </c>
      <c r="L32" s="4"/>
      <c r="M32" s="4"/>
      <c r="N32" s="4"/>
      <c r="O32" s="5"/>
      <c r="P32" s="3" t="s">
        <v>54</v>
      </c>
      <c r="Q32" s="3" t="s">
        <v>40</v>
      </c>
      <c r="R32">
        <f t="shared" si="0"/>
        <v>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ht="28.8" customHeight="1" x14ac:dyDescent="0.3">
      <c r="A33" s="2">
        <v>32</v>
      </c>
      <c r="B33" s="2" t="s">
        <v>168</v>
      </c>
      <c r="C33" s="2" t="s">
        <v>165</v>
      </c>
      <c r="D33" s="3" t="s">
        <v>169</v>
      </c>
      <c r="E33" s="2" t="s">
        <v>170</v>
      </c>
      <c r="F33" s="2"/>
      <c r="G33" s="3"/>
      <c r="H33" s="4">
        <v>1</v>
      </c>
      <c r="I33" s="4"/>
      <c r="J33" s="4"/>
      <c r="K33" s="4"/>
      <c r="L33" s="4"/>
      <c r="M33" s="4"/>
      <c r="N33" s="4"/>
      <c r="O33" s="5"/>
      <c r="P33" s="3" t="s">
        <v>171</v>
      </c>
      <c r="Q33" s="3" t="s">
        <v>40</v>
      </c>
      <c r="R33">
        <f t="shared" si="0"/>
        <v>2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ht="28.8" customHeight="1" x14ac:dyDescent="0.3">
      <c r="A34" s="2">
        <v>33</v>
      </c>
      <c r="B34" s="2" t="s">
        <v>172</v>
      </c>
      <c r="C34" s="2" t="s">
        <v>165</v>
      </c>
      <c r="D34" s="3" t="s">
        <v>173</v>
      </c>
      <c r="E34" s="2" t="s">
        <v>174</v>
      </c>
      <c r="F34" s="2"/>
      <c r="G34" s="3"/>
      <c r="H34" s="4"/>
      <c r="I34" s="4"/>
      <c r="J34" s="4"/>
      <c r="K34" s="4">
        <v>1</v>
      </c>
      <c r="L34" s="4"/>
      <c r="M34" s="4"/>
      <c r="N34" s="4"/>
      <c r="O34" s="5"/>
      <c r="P34" s="3" t="s">
        <v>512</v>
      </c>
      <c r="Q34" s="3" t="s">
        <v>40</v>
      </c>
      <c r="R34">
        <f t="shared" ref="R34:R65" si="1">SUM(H34+I34+J34+K34+L34+((M34+N34)*-1))+IF(ISTEXT(P34),1,0)</f>
        <v>2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ht="43.2" customHeight="1" x14ac:dyDescent="0.3">
      <c r="A35" s="2">
        <v>34</v>
      </c>
      <c r="B35" s="2" t="s">
        <v>175</v>
      </c>
      <c r="C35" s="2" t="s">
        <v>165</v>
      </c>
      <c r="D35" s="3" t="s">
        <v>176</v>
      </c>
      <c r="E35" s="2" t="s">
        <v>177</v>
      </c>
      <c r="F35" s="2"/>
      <c r="G35" s="3"/>
      <c r="H35" s="4"/>
      <c r="I35" s="4">
        <v>1</v>
      </c>
      <c r="J35" s="4"/>
      <c r="K35" s="4"/>
      <c r="L35" s="4">
        <v>1</v>
      </c>
      <c r="M35" s="4"/>
      <c r="N35" s="4"/>
      <c r="O35" s="5"/>
      <c r="P35" s="3" t="s">
        <v>178</v>
      </c>
      <c r="Q35" s="3" t="s">
        <v>40</v>
      </c>
      <c r="R35">
        <f t="shared" si="1"/>
        <v>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</row>
    <row r="36" spans="1:33" ht="28.8" customHeight="1" x14ac:dyDescent="0.3">
      <c r="A36" s="2">
        <v>35</v>
      </c>
      <c r="B36" s="2" t="s">
        <v>179</v>
      </c>
      <c r="C36" s="2" t="s">
        <v>180</v>
      </c>
      <c r="D36" s="3" t="s">
        <v>181</v>
      </c>
      <c r="E36" s="2" t="s">
        <v>182</v>
      </c>
      <c r="F36" s="2"/>
      <c r="G36" s="3"/>
      <c r="H36" s="4">
        <v>-1</v>
      </c>
      <c r="I36" s="4"/>
      <c r="J36" s="4">
        <v>-1</v>
      </c>
      <c r="K36" s="4">
        <v>2</v>
      </c>
      <c r="L36" s="4">
        <v>2</v>
      </c>
      <c r="M36" s="4"/>
      <c r="N36" s="4"/>
      <c r="O36" s="5"/>
      <c r="P36" s="3" t="s">
        <v>183</v>
      </c>
      <c r="Q36" s="3" t="s">
        <v>40</v>
      </c>
      <c r="R36">
        <f t="shared" si="1"/>
        <v>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</row>
    <row r="37" spans="1:33" ht="28.8" x14ac:dyDescent="0.3">
      <c r="A37" s="2">
        <v>36</v>
      </c>
      <c r="B37" s="2" t="s">
        <v>184</v>
      </c>
      <c r="C37" s="2" t="s">
        <v>180</v>
      </c>
      <c r="D37" s="3" t="s">
        <v>185</v>
      </c>
      <c r="E37" s="2" t="s">
        <v>186</v>
      </c>
      <c r="F37" s="2"/>
      <c r="G37" s="3"/>
      <c r="H37" s="4">
        <v>-1</v>
      </c>
      <c r="I37" s="4">
        <v>-2</v>
      </c>
      <c r="J37" s="4">
        <v>1</v>
      </c>
      <c r="K37" s="4">
        <v>4</v>
      </c>
      <c r="L37" s="4"/>
      <c r="M37" s="4"/>
      <c r="N37" s="4"/>
      <c r="O37" s="5"/>
      <c r="P37" s="3" t="s">
        <v>187</v>
      </c>
      <c r="Q37" s="3" t="s">
        <v>40</v>
      </c>
      <c r="R37">
        <f t="shared" si="1"/>
        <v>3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ht="28.8" customHeight="1" x14ac:dyDescent="0.3">
      <c r="A38" s="2">
        <v>37</v>
      </c>
      <c r="B38" s="2" t="s">
        <v>188</v>
      </c>
      <c r="C38" s="2" t="s">
        <v>165</v>
      </c>
      <c r="D38" s="3" t="s">
        <v>189</v>
      </c>
      <c r="E38" s="2" t="s">
        <v>190</v>
      </c>
      <c r="F38" s="2"/>
      <c r="G38" s="3"/>
      <c r="H38" s="4">
        <v>1</v>
      </c>
      <c r="I38" s="4">
        <v>-1</v>
      </c>
      <c r="J38" s="4"/>
      <c r="K38" s="4">
        <v>1</v>
      </c>
      <c r="L38" s="4"/>
      <c r="M38" s="4"/>
      <c r="N38" s="4"/>
      <c r="O38" s="5"/>
      <c r="P38" s="3" t="s">
        <v>191</v>
      </c>
      <c r="Q38" s="3" t="s">
        <v>40</v>
      </c>
      <c r="R38">
        <f t="shared" si="1"/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ht="28.8" customHeight="1" x14ac:dyDescent="0.3">
      <c r="A39" s="2">
        <v>38</v>
      </c>
      <c r="B39" s="2" t="s">
        <v>192</v>
      </c>
      <c r="C39" s="2" t="s">
        <v>165</v>
      </c>
      <c r="D39" s="3" t="s">
        <v>193</v>
      </c>
      <c r="E39" s="2" t="s">
        <v>194</v>
      </c>
      <c r="F39" s="2"/>
      <c r="G39" s="3"/>
      <c r="H39" s="4"/>
      <c r="I39" s="4"/>
      <c r="J39" s="4"/>
      <c r="K39" s="4"/>
      <c r="L39" s="4">
        <v>1</v>
      </c>
      <c r="M39" s="4"/>
      <c r="N39" s="4"/>
      <c r="O39" s="5"/>
      <c r="P39" s="3" t="s">
        <v>195</v>
      </c>
      <c r="Q39" s="3" t="s">
        <v>40</v>
      </c>
      <c r="R39">
        <f t="shared" si="1"/>
        <v>2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ht="28.8" customHeight="1" x14ac:dyDescent="0.3">
      <c r="A40" s="2">
        <v>39</v>
      </c>
      <c r="B40" s="2" t="s">
        <v>196</v>
      </c>
      <c r="C40" s="2" t="s">
        <v>165</v>
      </c>
      <c r="D40" s="3" t="s">
        <v>197</v>
      </c>
      <c r="E40" s="2" t="s">
        <v>198</v>
      </c>
      <c r="F40" s="2"/>
      <c r="G40" s="3"/>
      <c r="H40" s="4">
        <v>-1</v>
      </c>
      <c r="I40" s="4"/>
      <c r="J40" s="4"/>
      <c r="K40" s="4">
        <v>1</v>
      </c>
      <c r="L40" s="4">
        <v>1</v>
      </c>
      <c r="M40" s="4"/>
      <c r="N40" s="4"/>
      <c r="O40" s="5"/>
      <c r="P40" s="3" t="s">
        <v>199</v>
      </c>
      <c r="Q40" s="3" t="s">
        <v>40</v>
      </c>
      <c r="R40">
        <f t="shared" si="1"/>
        <v>2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ht="28.8" customHeight="1" x14ac:dyDescent="0.3">
      <c r="A41" s="2">
        <v>40</v>
      </c>
      <c r="B41" s="2" t="s">
        <v>200</v>
      </c>
      <c r="C41" s="2" t="s">
        <v>165</v>
      </c>
      <c r="D41" s="3" t="s">
        <v>201</v>
      </c>
      <c r="E41" s="2" t="s">
        <v>202</v>
      </c>
      <c r="F41" s="2"/>
      <c r="G41" s="3"/>
      <c r="H41" s="4"/>
      <c r="I41" s="4"/>
      <c r="J41" s="4">
        <v>1</v>
      </c>
      <c r="K41" s="4">
        <v>-1</v>
      </c>
      <c r="L41" s="4">
        <v>1</v>
      </c>
      <c r="M41" s="4"/>
      <c r="N41" s="4"/>
      <c r="O41" s="5"/>
      <c r="P41" s="3" t="s">
        <v>203</v>
      </c>
      <c r="Q41" s="3" t="s">
        <v>40</v>
      </c>
      <c r="R41">
        <f t="shared" si="1"/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ht="28.8" customHeight="1" x14ac:dyDescent="0.3">
      <c r="A42" s="2">
        <v>41</v>
      </c>
      <c r="B42" s="2" t="s">
        <v>204</v>
      </c>
      <c r="C42" s="2" t="s">
        <v>165</v>
      </c>
      <c r="D42" s="3" t="s">
        <v>205</v>
      </c>
      <c r="E42" s="2" t="s">
        <v>159</v>
      </c>
      <c r="F42" s="2"/>
      <c r="G42" s="3"/>
      <c r="H42" s="4"/>
      <c r="I42" s="4"/>
      <c r="J42" s="4"/>
      <c r="K42" s="4">
        <v>2</v>
      </c>
      <c r="L42" s="4">
        <v>1</v>
      </c>
      <c r="M42" s="4"/>
      <c r="N42" s="4"/>
      <c r="O42" s="5"/>
      <c r="P42" s="3" t="s">
        <v>513</v>
      </c>
      <c r="Q42" s="3" t="s">
        <v>40</v>
      </c>
      <c r="R42">
        <f t="shared" si="1"/>
        <v>4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ht="28.8" customHeight="1" x14ac:dyDescent="0.3">
      <c r="A43" s="2">
        <v>42</v>
      </c>
      <c r="B43" s="2" t="s">
        <v>206</v>
      </c>
      <c r="C43" s="2" t="s">
        <v>165</v>
      </c>
      <c r="D43" s="3" t="s">
        <v>207</v>
      </c>
      <c r="E43" s="2" t="s">
        <v>208</v>
      </c>
      <c r="F43" s="2"/>
      <c r="G43" s="3"/>
      <c r="H43" s="4"/>
      <c r="I43" s="4"/>
      <c r="J43" s="4"/>
      <c r="K43" s="4">
        <v>1</v>
      </c>
      <c r="L43" s="4"/>
      <c r="M43" s="4"/>
      <c r="N43" s="4"/>
      <c r="O43" s="5">
        <v>1</v>
      </c>
      <c r="P43" s="3" t="s">
        <v>209</v>
      </c>
      <c r="Q43" s="3" t="s">
        <v>40</v>
      </c>
      <c r="R43">
        <f t="shared" si="1"/>
        <v>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</row>
    <row r="44" spans="1:33" ht="28.8" customHeight="1" x14ac:dyDescent="0.3">
      <c r="A44" s="2">
        <v>43</v>
      </c>
      <c r="B44" s="2" t="s">
        <v>210</v>
      </c>
      <c r="C44" s="2" t="s">
        <v>165</v>
      </c>
      <c r="D44" s="3" t="s">
        <v>211</v>
      </c>
      <c r="E44" s="2" t="s">
        <v>212</v>
      </c>
      <c r="F44" s="2"/>
      <c r="G44" s="3"/>
      <c r="H44" s="4">
        <v>1</v>
      </c>
      <c r="I44" s="4"/>
      <c r="J44" s="4"/>
      <c r="K44" s="4"/>
      <c r="L44" s="4"/>
      <c r="M44" s="4"/>
      <c r="N44" s="4"/>
      <c r="O44" s="5"/>
      <c r="P44" s="3" t="s">
        <v>213</v>
      </c>
      <c r="Q44" s="3" t="s">
        <v>40</v>
      </c>
      <c r="R44">
        <f t="shared" si="1"/>
        <v>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ht="28.8" customHeight="1" x14ac:dyDescent="0.3">
      <c r="A45" s="2">
        <v>44</v>
      </c>
      <c r="B45" s="2" t="s">
        <v>214</v>
      </c>
      <c r="C45" s="2" t="s">
        <v>165</v>
      </c>
      <c r="D45" s="3" t="s">
        <v>215</v>
      </c>
      <c r="E45" s="2" t="s">
        <v>216</v>
      </c>
      <c r="F45" s="2"/>
      <c r="G45" s="3"/>
      <c r="H45" s="4"/>
      <c r="I45" s="4">
        <v>1</v>
      </c>
      <c r="J45" s="4">
        <v>1</v>
      </c>
      <c r="K45" s="4"/>
      <c r="L45" s="4"/>
      <c r="M45" s="4"/>
      <c r="N45" s="4"/>
      <c r="O45" s="5"/>
      <c r="P45" s="3" t="s">
        <v>217</v>
      </c>
      <c r="Q45" s="3" t="s">
        <v>40</v>
      </c>
      <c r="R45">
        <f t="shared" si="1"/>
        <v>3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ht="28.8" customHeight="1" x14ac:dyDescent="0.3">
      <c r="A46" s="2">
        <v>45</v>
      </c>
      <c r="B46" s="2" t="s">
        <v>218</v>
      </c>
      <c r="C46" s="2" t="s">
        <v>165</v>
      </c>
      <c r="D46" s="3" t="s">
        <v>219</v>
      </c>
      <c r="E46" s="2" t="s">
        <v>220</v>
      </c>
      <c r="F46" s="2"/>
      <c r="G46" s="3"/>
      <c r="H46" s="4"/>
      <c r="I46" s="4">
        <v>-1</v>
      </c>
      <c r="J46" s="4">
        <v>1</v>
      </c>
      <c r="K46" s="4">
        <v>2</v>
      </c>
      <c r="L46" s="4"/>
      <c r="M46" s="4"/>
      <c r="N46" s="4"/>
      <c r="O46" s="5"/>
      <c r="P46" s="3" t="s">
        <v>221</v>
      </c>
      <c r="Q46" s="3" t="s">
        <v>40</v>
      </c>
      <c r="R46">
        <f t="shared" si="1"/>
        <v>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ht="28.8" customHeight="1" x14ac:dyDescent="0.3">
      <c r="A47" s="2">
        <v>46</v>
      </c>
      <c r="B47" s="2" t="s">
        <v>222</v>
      </c>
      <c r="C47" s="2" t="s">
        <v>180</v>
      </c>
      <c r="D47" s="3" t="s">
        <v>223</v>
      </c>
      <c r="E47" s="2" t="s">
        <v>224</v>
      </c>
      <c r="F47" s="2"/>
      <c r="G47" s="3"/>
      <c r="H47" s="4"/>
      <c r="I47" s="4">
        <v>-2</v>
      </c>
      <c r="J47" s="4"/>
      <c r="K47" s="4">
        <v>2</v>
      </c>
      <c r="L47" s="4">
        <v>1</v>
      </c>
      <c r="M47" s="4"/>
      <c r="N47" s="4"/>
      <c r="O47" s="5"/>
      <c r="P47" s="3" t="s">
        <v>225</v>
      </c>
      <c r="Q47" s="3" t="s">
        <v>40</v>
      </c>
      <c r="R47">
        <f t="shared" si="1"/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3">
      <c r="A48" s="2">
        <v>47</v>
      </c>
      <c r="B48" s="2" t="s">
        <v>226</v>
      </c>
      <c r="C48" s="2" t="s">
        <v>165</v>
      </c>
      <c r="D48" s="3" t="s">
        <v>227</v>
      </c>
      <c r="E48" s="2" t="s">
        <v>228</v>
      </c>
      <c r="F48" s="2"/>
      <c r="G48" s="3"/>
      <c r="H48" s="4"/>
      <c r="I48" s="4"/>
      <c r="J48" s="4">
        <v>1</v>
      </c>
      <c r="K48" s="4">
        <v>4</v>
      </c>
      <c r="L48" s="4"/>
      <c r="M48" s="4"/>
      <c r="N48" s="4"/>
      <c r="O48" s="5"/>
      <c r="Q48" s="3" t="s">
        <v>40</v>
      </c>
      <c r="R48">
        <f t="shared" si="1"/>
        <v>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ht="43.2" customHeight="1" x14ac:dyDescent="0.3">
      <c r="A49" s="2">
        <v>48</v>
      </c>
      <c r="B49" s="2" t="s">
        <v>229</v>
      </c>
      <c r="C49" s="2" t="s">
        <v>165</v>
      </c>
      <c r="D49" s="3" t="s">
        <v>230</v>
      </c>
      <c r="E49" s="2" t="s">
        <v>231</v>
      </c>
      <c r="F49" s="2"/>
      <c r="G49" s="3"/>
      <c r="H49" s="4"/>
      <c r="I49" s="4"/>
      <c r="J49" s="4"/>
      <c r="K49" s="4">
        <v>-1</v>
      </c>
      <c r="L49" s="4">
        <v>1</v>
      </c>
      <c r="M49" s="4">
        <v>-1</v>
      </c>
      <c r="N49" s="4"/>
      <c r="O49" s="5"/>
      <c r="P49" s="3" t="s">
        <v>232</v>
      </c>
      <c r="Q49" s="3" t="s">
        <v>40</v>
      </c>
      <c r="R49">
        <f t="shared" si="1"/>
        <v>2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ht="28.8" customHeight="1" x14ac:dyDescent="0.3">
      <c r="A50" s="2">
        <v>49</v>
      </c>
      <c r="B50" s="2" t="s">
        <v>233</v>
      </c>
      <c r="C50" s="2" t="s">
        <v>165</v>
      </c>
      <c r="D50" s="3" t="s">
        <v>234</v>
      </c>
      <c r="E50" s="2" t="s">
        <v>235</v>
      </c>
      <c r="F50" s="2"/>
      <c r="G50" s="3"/>
      <c r="H50" s="4"/>
      <c r="I50" s="4"/>
      <c r="J50" s="4">
        <v>1</v>
      </c>
      <c r="K50" s="4">
        <v>-1</v>
      </c>
      <c r="L50" s="4"/>
      <c r="M50" s="4"/>
      <c r="N50" s="4"/>
      <c r="O50" s="5"/>
      <c r="P50" s="3" t="s">
        <v>236</v>
      </c>
      <c r="Q50" s="3" t="s">
        <v>40</v>
      </c>
      <c r="R50">
        <f t="shared" si="1"/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ht="43.2" customHeight="1" x14ac:dyDescent="0.3">
      <c r="A51" s="2">
        <v>50</v>
      </c>
      <c r="B51" s="2" t="s">
        <v>237</v>
      </c>
      <c r="C51" s="2" t="s">
        <v>165</v>
      </c>
      <c r="D51" s="3" t="s">
        <v>238</v>
      </c>
      <c r="E51" s="2" t="s">
        <v>239</v>
      </c>
      <c r="F51" s="2"/>
      <c r="G51" s="3"/>
      <c r="H51" s="4"/>
      <c r="I51" s="4"/>
      <c r="J51" s="4"/>
      <c r="K51" s="4">
        <v>2</v>
      </c>
      <c r="L51" s="4">
        <v>1</v>
      </c>
      <c r="M51" s="4"/>
      <c r="N51" s="4"/>
      <c r="O51" s="5"/>
      <c r="P51" s="3" t="s">
        <v>240</v>
      </c>
      <c r="Q51" s="3" t="s">
        <v>40</v>
      </c>
      <c r="R51">
        <f t="shared" si="1"/>
        <v>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ht="28.8" customHeight="1" x14ac:dyDescent="0.3">
      <c r="A52" s="2">
        <v>51</v>
      </c>
      <c r="B52" s="2" t="s">
        <v>241</v>
      </c>
      <c r="C52" s="2" t="s">
        <v>242</v>
      </c>
      <c r="D52" s="3" t="s">
        <v>243</v>
      </c>
      <c r="E52" s="2" t="s">
        <v>244</v>
      </c>
      <c r="F52" s="2"/>
      <c r="G52" s="3"/>
      <c r="H52" s="4"/>
      <c r="I52" s="4"/>
      <c r="J52" s="4"/>
      <c r="K52" s="4"/>
      <c r="L52" s="4"/>
      <c r="M52" s="4"/>
      <c r="N52" s="4"/>
      <c r="O52" s="5"/>
      <c r="P52" s="3" t="s">
        <v>514</v>
      </c>
      <c r="Q52" s="3" t="s">
        <v>40</v>
      </c>
      <c r="R52">
        <f t="shared" si="1"/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ht="28.8" customHeight="1" x14ac:dyDescent="0.3">
      <c r="A53" s="2">
        <v>52</v>
      </c>
      <c r="B53" s="2" t="s">
        <v>245</v>
      </c>
      <c r="C53" s="2" t="s">
        <v>242</v>
      </c>
      <c r="D53" s="3" t="s">
        <v>246</v>
      </c>
      <c r="E53" s="2" t="s">
        <v>247</v>
      </c>
      <c r="F53" s="2"/>
      <c r="G53" s="3"/>
      <c r="H53" s="4">
        <v>1</v>
      </c>
      <c r="I53" s="4"/>
      <c r="J53" s="4"/>
      <c r="K53" s="4"/>
      <c r="L53" s="4"/>
      <c r="M53" s="4"/>
      <c r="N53" s="4"/>
      <c r="O53" s="5"/>
      <c r="P53" s="3" t="s">
        <v>248</v>
      </c>
      <c r="Q53" s="3" t="s">
        <v>40</v>
      </c>
      <c r="R53">
        <f t="shared" si="1"/>
        <v>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ht="28.8" customHeight="1" x14ac:dyDescent="0.3">
      <c r="A54" s="2">
        <v>53</v>
      </c>
      <c r="B54" s="2" t="s">
        <v>249</v>
      </c>
      <c r="C54" s="2" t="s">
        <v>242</v>
      </c>
      <c r="D54" s="3" t="s">
        <v>250</v>
      </c>
      <c r="E54" s="2" t="s">
        <v>128</v>
      </c>
      <c r="F54" s="2"/>
      <c r="G54" s="3"/>
      <c r="H54" s="4"/>
      <c r="I54" s="4"/>
      <c r="J54" s="4"/>
      <c r="K54" s="4">
        <v>2</v>
      </c>
      <c r="L54" s="4"/>
      <c r="M54" s="4"/>
      <c r="N54" s="4"/>
      <c r="O54" s="5"/>
      <c r="P54" s="3" t="s">
        <v>515</v>
      </c>
      <c r="Q54" s="3" t="s">
        <v>40</v>
      </c>
      <c r="R54">
        <f t="shared" si="1"/>
        <v>3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ht="43.2" customHeight="1" x14ac:dyDescent="0.3">
      <c r="A55" s="2">
        <v>54</v>
      </c>
      <c r="B55" s="2" t="s">
        <v>251</v>
      </c>
      <c r="C55" s="2" t="s">
        <v>242</v>
      </c>
      <c r="D55" s="3" t="s">
        <v>252</v>
      </c>
      <c r="E55" s="2" t="s">
        <v>253</v>
      </c>
      <c r="F55" s="2"/>
      <c r="G55" s="3"/>
      <c r="H55" s="4">
        <v>-1</v>
      </c>
      <c r="I55" s="4"/>
      <c r="J55" s="4">
        <v>1</v>
      </c>
      <c r="K55" s="4"/>
      <c r="L55" s="4">
        <v>2</v>
      </c>
      <c r="M55" s="4"/>
      <c r="N55" s="4"/>
      <c r="O55" s="5"/>
      <c r="P55" s="3" t="s">
        <v>254</v>
      </c>
      <c r="Q55" s="3" t="s">
        <v>40</v>
      </c>
      <c r="R55">
        <f t="shared" si="1"/>
        <v>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ht="28.8" customHeight="1" x14ac:dyDescent="0.3">
      <c r="A56" s="2">
        <v>55</v>
      </c>
      <c r="B56" s="2" t="s">
        <v>255</v>
      </c>
      <c r="C56" s="2" t="s">
        <v>242</v>
      </c>
      <c r="D56" s="3" t="s">
        <v>256</v>
      </c>
      <c r="E56" s="2" t="s">
        <v>257</v>
      </c>
      <c r="F56" s="2"/>
      <c r="G56" s="3"/>
      <c r="H56" s="4">
        <v>2</v>
      </c>
      <c r="I56" s="4"/>
      <c r="J56" s="4"/>
      <c r="K56" s="4"/>
      <c r="L56" s="4">
        <v>-1</v>
      </c>
      <c r="M56" s="4"/>
      <c r="N56" s="4"/>
      <c r="O56" s="5"/>
      <c r="P56" s="3" t="s">
        <v>258</v>
      </c>
      <c r="Q56" s="3" t="s">
        <v>60</v>
      </c>
      <c r="R56">
        <f t="shared" si="1"/>
        <v>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</row>
    <row r="57" spans="1:33" ht="28.8" customHeight="1" x14ac:dyDescent="0.3">
      <c r="A57" s="2">
        <v>56</v>
      </c>
      <c r="B57" s="2" t="s">
        <v>259</v>
      </c>
      <c r="C57" s="2" t="s">
        <v>242</v>
      </c>
      <c r="D57" s="3" t="s">
        <v>260</v>
      </c>
      <c r="E57" s="2" t="s">
        <v>261</v>
      </c>
      <c r="F57" s="2"/>
      <c r="G57" s="3"/>
      <c r="H57" s="4">
        <v>1</v>
      </c>
      <c r="I57" s="4">
        <v>1</v>
      </c>
      <c r="J57" s="4"/>
      <c r="K57" s="4"/>
      <c r="L57" s="4"/>
      <c r="M57" s="4"/>
      <c r="N57" s="4"/>
      <c r="O57" s="5"/>
      <c r="P57" s="3"/>
      <c r="Q57" s="3" t="s">
        <v>40</v>
      </c>
      <c r="R57">
        <f t="shared" si="1"/>
        <v>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3">
      <c r="A58" s="2">
        <v>57</v>
      </c>
      <c r="B58" s="2" t="s">
        <v>262</v>
      </c>
      <c r="C58" s="2" t="s">
        <v>242</v>
      </c>
      <c r="D58" s="3" t="s">
        <v>263</v>
      </c>
      <c r="E58" s="2" t="s">
        <v>228</v>
      </c>
      <c r="F58" s="2"/>
      <c r="G58" s="3"/>
      <c r="H58" s="4"/>
      <c r="I58" s="4">
        <v>-1</v>
      </c>
      <c r="J58" s="4"/>
      <c r="K58" s="4">
        <v>2</v>
      </c>
      <c r="L58" s="4">
        <v>1</v>
      </c>
      <c r="M58" s="4"/>
      <c r="N58" s="4"/>
      <c r="O58" s="5"/>
      <c r="P58" s="3"/>
      <c r="Q58" s="3" t="s">
        <v>40</v>
      </c>
      <c r="R58">
        <f t="shared" si="1"/>
        <v>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ht="28.8" customHeight="1" x14ac:dyDescent="0.3">
      <c r="A59" s="2">
        <v>58</v>
      </c>
      <c r="B59" s="2" t="s">
        <v>264</v>
      </c>
      <c r="C59" s="2" t="s">
        <v>242</v>
      </c>
      <c r="D59" s="3" t="s">
        <v>265</v>
      </c>
      <c r="E59" s="2" t="s">
        <v>194</v>
      </c>
      <c r="F59" s="2"/>
      <c r="G59" s="3"/>
      <c r="H59" s="4"/>
      <c r="I59" s="4"/>
      <c r="J59" s="4">
        <v>-1</v>
      </c>
      <c r="K59" s="4">
        <v>2</v>
      </c>
      <c r="L59" s="4">
        <v>1</v>
      </c>
      <c r="M59" s="4"/>
      <c r="N59" s="4"/>
      <c r="O59" s="5"/>
      <c r="P59" s="3" t="s">
        <v>266</v>
      </c>
      <c r="Q59" s="3" t="s">
        <v>267</v>
      </c>
      <c r="R59">
        <f t="shared" si="1"/>
        <v>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ht="28.8" customHeight="1" x14ac:dyDescent="0.3">
      <c r="A60" s="2">
        <v>59</v>
      </c>
      <c r="B60" s="2" t="s">
        <v>268</v>
      </c>
      <c r="C60" s="2" t="s">
        <v>242</v>
      </c>
      <c r="D60" s="3" t="s">
        <v>269</v>
      </c>
      <c r="E60" s="2" t="s">
        <v>270</v>
      </c>
      <c r="F60" s="2"/>
      <c r="G60" s="3"/>
      <c r="H60" s="4"/>
      <c r="I60" s="4"/>
      <c r="J60" s="4"/>
      <c r="K60" s="4"/>
      <c r="L60" s="4"/>
      <c r="M60" s="4">
        <v>1</v>
      </c>
      <c r="N60" s="4"/>
      <c r="O60" s="5"/>
      <c r="P60" s="3" t="s">
        <v>271</v>
      </c>
      <c r="Q60" s="3" t="s">
        <v>40</v>
      </c>
      <c r="R60">
        <f t="shared" si="1"/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</row>
    <row r="61" spans="1:33" ht="43.2" customHeight="1" x14ac:dyDescent="0.3">
      <c r="A61" s="2">
        <v>60</v>
      </c>
      <c r="B61" s="2" t="s">
        <v>272</v>
      </c>
      <c r="C61" s="2" t="s">
        <v>242</v>
      </c>
      <c r="D61" s="3" t="s">
        <v>273</v>
      </c>
      <c r="E61" s="2" t="s">
        <v>128</v>
      </c>
      <c r="F61" s="2"/>
      <c r="G61" s="3"/>
      <c r="H61" s="4"/>
      <c r="I61" s="4"/>
      <c r="J61" s="4"/>
      <c r="K61" s="4"/>
      <c r="L61" s="4">
        <v>1</v>
      </c>
      <c r="M61" s="4"/>
      <c r="N61" s="4"/>
      <c r="O61" s="5"/>
      <c r="P61" s="3" t="s">
        <v>274</v>
      </c>
      <c r="Q61" s="3" t="s">
        <v>40</v>
      </c>
      <c r="R61">
        <f t="shared" si="1"/>
        <v>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ht="28.8" customHeight="1" x14ac:dyDescent="0.3">
      <c r="A62" s="2">
        <v>61</v>
      </c>
      <c r="B62" s="2" t="s">
        <v>275</v>
      </c>
      <c r="C62" s="2" t="s">
        <v>242</v>
      </c>
      <c r="D62" s="3" t="s">
        <v>276</v>
      </c>
      <c r="E62" s="2" t="s">
        <v>277</v>
      </c>
      <c r="F62" s="2"/>
      <c r="G62" s="3"/>
      <c r="H62" s="4"/>
      <c r="I62" s="4"/>
      <c r="J62" s="4"/>
      <c r="K62" s="4"/>
      <c r="L62" s="4">
        <v>2</v>
      </c>
      <c r="M62" s="4"/>
      <c r="N62" s="4"/>
      <c r="O62" s="5"/>
      <c r="P62" s="3" t="s">
        <v>271</v>
      </c>
      <c r="Q62" s="3" t="s">
        <v>40</v>
      </c>
      <c r="R62">
        <f t="shared" si="1"/>
        <v>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</row>
    <row r="63" spans="1:33" ht="43.2" customHeight="1" x14ac:dyDescent="0.3">
      <c r="A63" s="2">
        <v>62</v>
      </c>
      <c r="B63" s="2" t="s">
        <v>278</v>
      </c>
      <c r="C63" s="2" t="s">
        <v>242</v>
      </c>
      <c r="D63" s="3" t="s">
        <v>279</v>
      </c>
      <c r="E63" s="2" t="s">
        <v>280</v>
      </c>
      <c r="F63" s="2"/>
      <c r="G63" s="3"/>
      <c r="H63" s="4">
        <v>-1</v>
      </c>
      <c r="I63" s="4"/>
      <c r="J63" s="4">
        <v>2</v>
      </c>
      <c r="K63" s="4"/>
      <c r="L63" s="4"/>
      <c r="M63" s="4"/>
      <c r="N63" s="4"/>
      <c r="O63" s="5"/>
      <c r="P63" s="3" t="s">
        <v>281</v>
      </c>
      <c r="Q63" s="3" t="s">
        <v>40</v>
      </c>
      <c r="R63">
        <f t="shared" si="1"/>
        <v>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ht="28.8" customHeight="1" x14ac:dyDescent="0.3">
      <c r="A64" s="2">
        <v>63</v>
      </c>
      <c r="B64" s="2" t="s">
        <v>282</v>
      </c>
      <c r="C64" s="2" t="s">
        <v>242</v>
      </c>
      <c r="D64" s="3" t="s">
        <v>283</v>
      </c>
      <c r="E64" s="2" t="s">
        <v>284</v>
      </c>
      <c r="F64" s="2"/>
      <c r="G64" s="3"/>
      <c r="H64" s="4"/>
      <c r="I64" s="4"/>
      <c r="J64" s="4"/>
      <c r="K64" s="4">
        <v>2</v>
      </c>
      <c r="L64" s="4"/>
      <c r="M64" s="4"/>
      <c r="N64" s="4"/>
      <c r="O64" s="5"/>
      <c r="P64" s="3" t="s">
        <v>285</v>
      </c>
      <c r="Q64" s="3" t="s">
        <v>40</v>
      </c>
      <c r="R64">
        <f t="shared" si="1"/>
        <v>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ht="28.8" customHeight="1" x14ac:dyDescent="0.3">
      <c r="A65" s="2">
        <v>64</v>
      </c>
      <c r="B65" s="2" t="s">
        <v>286</v>
      </c>
      <c r="C65" s="2" t="s">
        <v>242</v>
      </c>
      <c r="D65" s="3" t="s">
        <v>287</v>
      </c>
      <c r="E65" s="2" t="s">
        <v>288</v>
      </c>
      <c r="F65" s="2"/>
      <c r="G65" s="3"/>
      <c r="H65" s="4"/>
      <c r="I65" s="4"/>
      <c r="J65" s="4"/>
      <c r="K65" s="4">
        <v>1</v>
      </c>
      <c r="L65" s="4">
        <v>1</v>
      </c>
      <c r="M65" s="4"/>
      <c r="N65" s="4"/>
      <c r="O65" s="5"/>
      <c r="P65" s="3" t="s">
        <v>289</v>
      </c>
      <c r="Q65" s="3" t="s">
        <v>40</v>
      </c>
      <c r="R65">
        <f t="shared" si="1"/>
        <v>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ht="43.2" customHeight="1" x14ac:dyDescent="0.3">
      <c r="A66" s="2">
        <v>65</v>
      </c>
      <c r="B66" s="2" t="s">
        <v>290</v>
      </c>
      <c r="C66" s="2" t="s">
        <v>242</v>
      </c>
      <c r="D66" s="3" t="s">
        <v>291</v>
      </c>
      <c r="E66" s="2" t="s">
        <v>292</v>
      </c>
      <c r="F66" s="2"/>
      <c r="G66" s="3"/>
      <c r="H66" s="4"/>
      <c r="I66" s="4"/>
      <c r="J66" s="4">
        <v>1</v>
      </c>
      <c r="K66" s="4"/>
      <c r="L66" s="4"/>
      <c r="M66" s="4"/>
      <c r="N66" s="4"/>
      <c r="O66" s="5"/>
      <c r="P66" s="3" t="s">
        <v>293</v>
      </c>
      <c r="Q66" s="3" t="s">
        <v>40</v>
      </c>
      <c r="R66">
        <f t="shared" ref="R66:R97" si="2">SUM(H66+I66+J66+K66+L66+((M66+N66)*-1))+IF(ISTEXT(P66),1,0)</f>
        <v>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</row>
    <row r="67" spans="1:33" x14ac:dyDescent="0.3">
      <c r="A67" s="2">
        <v>66</v>
      </c>
      <c r="B67" s="2" t="s">
        <v>294</v>
      </c>
      <c r="C67" s="2" t="s">
        <v>295</v>
      </c>
      <c r="D67" s="3" t="s">
        <v>296</v>
      </c>
      <c r="E67" s="2" t="s">
        <v>297</v>
      </c>
      <c r="F67" s="2"/>
      <c r="G67" s="3"/>
      <c r="H67" s="4"/>
      <c r="I67" s="4"/>
      <c r="J67" s="4"/>
      <c r="K67" s="4"/>
      <c r="L67" s="4">
        <v>2</v>
      </c>
      <c r="M67" s="4"/>
      <c r="N67" s="4"/>
      <c r="O67" s="5"/>
      <c r="P67" s="3" t="s">
        <v>298</v>
      </c>
      <c r="Q67" s="3" t="s">
        <v>40</v>
      </c>
      <c r="R67">
        <f t="shared" si="2"/>
        <v>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</row>
    <row r="68" spans="1:33" ht="28.8" customHeight="1" x14ac:dyDescent="0.3">
      <c r="A68" s="2">
        <v>67</v>
      </c>
      <c r="B68" s="2" t="s">
        <v>299</v>
      </c>
      <c r="C68" s="2" t="s">
        <v>295</v>
      </c>
      <c r="D68" s="3" t="s">
        <v>300</v>
      </c>
      <c r="E68" s="2" t="s">
        <v>301</v>
      </c>
      <c r="F68" s="2"/>
      <c r="G68" s="3"/>
      <c r="H68" s="4"/>
      <c r="I68" s="4">
        <v>-1</v>
      </c>
      <c r="J68" s="4"/>
      <c r="K68" s="4"/>
      <c r="L68" s="4">
        <v>2</v>
      </c>
      <c r="M68" s="4"/>
      <c r="N68" s="4"/>
      <c r="O68" s="5"/>
      <c r="P68" s="3" t="s">
        <v>302</v>
      </c>
      <c r="Q68" s="3" t="s">
        <v>40</v>
      </c>
      <c r="R68">
        <f t="shared" si="2"/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3">
      <c r="A69" s="2">
        <v>68</v>
      </c>
      <c r="B69" s="2" t="s">
        <v>303</v>
      </c>
      <c r="C69" s="2" t="s">
        <v>295</v>
      </c>
      <c r="D69" s="3" t="s">
        <v>304</v>
      </c>
      <c r="E69" s="2" t="s">
        <v>305</v>
      </c>
      <c r="F69" s="2"/>
      <c r="G69" s="3"/>
      <c r="H69" s="4">
        <v>-1</v>
      </c>
      <c r="I69" s="4">
        <v>-1</v>
      </c>
      <c r="J69" s="4">
        <v>-1</v>
      </c>
      <c r="K69" s="4"/>
      <c r="L69" s="4">
        <v>3</v>
      </c>
      <c r="M69" s="4"/>
      <c r="N69" s="4"/>
      <c r="O69" s="5"/>
      <c r="P69" s="3" t="s">
        <v>306</v>
      </c>
      <c r="Q69" s="3" t="s">
        <v>40</v>
      </c>
      <c r="R69">
        <f t="shared" si="2"/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</row>
    <row r="70" spans="1:33" ht="28.8" customHeight="1" x14ac:dyDescent="0.3">
      <c r="A70" s="2">
        <v>69</v>
      </c>
      <c r="B70" s="2" t="s">
        <v>307</v>
      </c>
      <c r="C70" s="2" t="s">
        <v>295</v>
      </c>
      <c r="D70" s="3" t="s">
        <v>308</v>
      </c>
      <c r="E70" s="2" t="s">
        <v>170</v>
      </c>
      <c r="F70" s="2"/>
      <c r="G70" s="3"/>
      <c r="H70" s="4">
        <v>-1</v>
      </c>
      <c r="I70" s="4"/>
      <c r="J70" s="4"/>
      <c r="K70" s="4"/>
      <c r="L70" s="4">
        <v>2</v>
      </c>
      <c r="M70" s="4"/>
      <c r="N70" s="4"/>
      <c r="O70" s="5"/>
      <c r="P70" s="3" t="s">
        <v>309</v>
      </c>
      <c r="Q70" s="3" t="s">
        <v>40</v>
      </c>
      <c r="R70">
        <f t="shared" si="2"/>
        <v>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ht="28.8" customHeight="1" x14ac:dyDescent="0.3">
      <c r="A71" s="2">
        <v>70</v>
      </c>
      <c r="B71" s="2" t="s">
        <v>310</v>
      </c>
      <c r="C71" s="2" t="s">
        <v>295</v>
      </c>
      <c r="D71" s="3" t="s">
        <v>311</v>
      </c>
      <c r="E71" s="2" t="s">
        <v>312</v>
      </c>
      <c r="F71" s="2"/>
      <c r="G71" s="3"/>
      <c r="H71" s="4"/>
      <c r="I71" s="4">
        <v>-1</v>
      </c>
      <c r="J71" s="4"/>
      <c r="K71" s="4"/>
      <c r="L71" s="4"/>
      <c r="M71" s="4"/>
      <c r="N71" s="4"/>
      <c r="O71" s="5"/>
      <c r="P71" s="3" t="s">
        <v>285</v>
      </c>
      <c r="Q71" s="3" t="s">
        <v>40</v>
      </c>
      <c r="R71">
        <f t="shared" si="2"/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ht="28.8" customHeight="1" x14ac:dyDescent="0.3">
      <c r="A72" s="2">
        <v>71</v>
      </c>
      <c r="B72" s="2" t="s">
        <v>313</v>
      </c>
      <c r="C72" s="2" t="s">
        <v>295</v>
      </c>
      <c r="D72" s="3" t="s">
        <v>314</v>
      </c>
      <c r="E72" s="2" t="s">
        <v>315</v>
      </c>
      <c r="F72" s="2"/>
      <c r="G72" s="3"/>
      <c r="H72" s="4">
        <v>-1</v>
      </c>
      <c r="I72" s="4"/>
      <c r="J72" s="4"/>
      <c r="K72" s="4"/>
      <c r="L72" s="4"/>
      <c r="M72" s="4"/>
      <c r="N72" s="4"/>
      <c r="O72" s="5"/>
      <c r="P72" s="3" t="s">
        <v>316</v>
      </c>
      <c r="Q72" s="3" t="s">
        <v>40</v>
      </c>
      <c r="R72">
        <f t="shared" si="2"/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</row>
    <row r="73" spans="1:33" ht="28.8" customHeight="1" x14ac:dyDescent="0.3">
      <c r="A73" s="2">
        <v>72</v>
      </c>
      <c r="B73" s="2" t="s">
        <v>317</v>
      </c>
      <c r="C73" s="2" t="s">
        <v>295</v>
      </c>
      <c r="D73" s="3" t="s">
        <v>318</v>
      </c>
      <c r="E73" s="2" t="s">
        <v>319</v>
      </c>
      <c r="F73" s="2"/>
      <c r="G73" s="3"/>
      <c r="H73" s="4"/>
      <c r="I73" s="4"/>
      <c r="J73" s="4"/>
      <c r="K73" s="4">
        <v>-1</v>
      </c>
      <c r="L73" s="4">
        <v>2</v>
      </c>
      <c r="M73" s="4"/>
      <c r="N73" s="4"/>
      <c r="O73" s="5"/>
      <c r="P73" s="3" t="s">
        <v>320</v>
      </c>
      <c r="Q73" s="3" t="s">
        <v>156</v>
      </c>
      <c r="R73">
        <f t="shared" si="2"/>
        <v>2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ht="28.8" customHeight="1" x14ac:dyDescent="0.3">
      <c r="A74" s="2">
        <v>73</v>
      </c>
      <c r="B74" s="2" t="s">
        <v>321</v>
      </c>
      <c r="C74" s="2" t="s">
        <v>295</v>
      </c>
      <c r="D74" s="3" t="s">
        <v>322</v>
      </c>
      <c r="E74" s="2" t="s">
        <v>323</v>
      </c>
      <c r="F74" s="2"/>
      <c r="G74" s="3"/>
      <c r="H74" s="4"/>
      <c r="I74" s="4">
        <v>-1</v>
      </c>
      <c r="J74" s="4"/>
      <c r="K74" s="4">
        <v>-1</v>
      </c>
      <c r="L74" s="4"/>
      <c r="M74" s="4"/>
      <c r="N74" s="4"/>
      <c r="O74" s="5"/>
      <c r="P74" s="3" t="s">
        <v>324</v>
      </c>
      <c r="Q74" s="3" t="s">
        <v>40</v>
      </c>
      <c r="R74">
        <f t="shared" si="2"/>
        <v>-1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</row>
    <row r="75" spans="1:33" x14ac:dyDescent="0.3">
      <c r="A75" s="2">
        <v>74</v>
      </c>
      <c r="B75" s="2" t="s">
        <v>325</v>
      </c>
      <c r="C75" s="2" t="s">
        <v>295</v>
      </c>
      <c r="D75" s="3" t="s">
        <v>326</v>
      </c>
      <c r="E75" s="2" t="s">
        <v>327</v>
      </c>
      <c r="F75" s="2"/>
      <c r="G75" s="3"/>
      <c r="H75" s="4"/>
      <c r="I75" s="4">
        <v>-1</v>
      </c>
      <c r="J75" s="4">
        <v>1</v>
      </c>
      <c r="K75" s="4">
        <v>-2</v>
      </c>
      <c r="L75" s="4">
        <v>3</v>
      </c>
      <c r="M75" s="4"/>
      <c r="N75" s="4"/>
      <c r="O75" s="5"/>
      <c r="Q75" s="3" t="s">
        <v>40</v>
      </c>
      <c r="R75">
        <f t="shared" si="2"/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ht="28.8" customHeight="1" x14ac:dyDescent="0.3">
      <c r="A76" s="2">
        <v>75</v>
      </c>
      <c r="B76" s="2" t="s">
        <v>328</v>
      </c>
      <c r="C76" s="2" t="s">
        <v>295</v>
      </c>
      <c r="D76" s="3" t="s">
        <v>329</v>
      </c>
      <c r="E76" s="2" t="s">
        <v>330</v>
      </c>
      <c r="F76" s="2"/>
      <c r="G76" s="3"/>
      <c r="H76" s="4">
        <v>-1</v>
      </c>
      <c r="I76" s="4"/>
      <c r="J76" s="4"/>
      <c r="K76" s="4"/>
      <c r="L76" s="4">
        <v>2</v>
      </c>
      <c r="M76" s="4"/>
      <c r="N76" s="4"/>
      <c r="O76" s="5"/>
      <c r="P76" s="3" t="s">
        <v>302</v>
      </c>
      <c r="Q76" s="3" t="s">
        <v>40</v>
      </c>
      <c r="R76">
        <f t="shared" si="2"/>
        <v>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ht="43.2" customHeight="1" x14ac:dyDescent="0.3">
      <c r="A77" s="2">
        <v>76</v>
      </c>
      <c r="B77" s="2" t="s">
        <v>331</v>
      </c>
      <c r="C77" s="2" t="s">
        <v>295</v>
      </c>
      <c r="D77" s="3" t="s">
        <v>332</v>
      </c>
      <c r="E77" s="2" t="s">
        <v>202</v>
      </c>
      <c r="F77" s="2"/>
      <c r="G77" s="3"/>
      <c r="H77" s="4"/>
      <c r="I77" s="4">
        <v>-1</v>
      </c>
      <c r="J77" s="4">
        <v>-1</v>
      </c>
      <c r="K77" s="4"/>
      <c r="L77" s="4">
        <v>2</v>
      </c>
      <c r="M77" s="4"/>
      <c r="N77" s="4"/>
      <c r="O77" s="5"/>
      <c r="P77" s="3" t="s">
        <v>333</v>
      </c>
      <c r="Q77" s="3" t="s">
        <v>40</v>
      </c>
      <c r="R77">
        <f t="shared" si="2"/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ht="28.8" customHeight="1" x14ac:dyDescent="0.3">
      <c r="A78" s="2">
        <v>77</v>
      </c>
      <c r="B78" s="2" t="s">
        <v>334</v>
      </c>
      <c r="C78" s="2" t="s">
        <v>295</v>
      </c>
      <c r="D78" s="3" t="s">
        <v>335</v>
      </c>
      <c r="E78" s="2" t="s">
        <v>336</v>
      </c>
      <c r="F78" s="2"/>
      <c r="G78" s="3"/>
      <c r="H78" s="4"/>
      <c r="I78" s="4"/>
      <c r="J78" s="4">
        <v>1</v>
      </c>
      <c r="K78" s="4">
        <v>-3</v>
      </c>
      <c r="L78" s="4">
        <v>2</v>
      </c>
      <c r="M78" s="4">
        <v>-1</v>
      </c>
      <c r="N78" s="4"/>
      <c r="O78" s="5"/>
      <c r="P78" s="3" t="s">
        <v>337</v>
      </c>
      <c r="Q78" s="3" t="s">
        <v>40</v>
      </c>
      <c r="R78">
        <f t="shared" si="2"/>
        <v>2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3">
      <c r="A79" s="2">
        <v>78</v>
      </c>
      <c r="B79" s="2" t="s">
        <v>338</v>
      </c>
      <c r="C79" s="2" t="s">
        <v>295</v>
      </c>
      <c r="D79" s="3" t="s">
        <v>339</v>
      </c>
      <c r="E79" s="2" t="s">
        <v>177</v>
      </c>
      <c r="F79" s="2"/>
      <c r="G79" s="3"/>
      <c r="H79" s="4"/>
      <c r="I79" s="4"/>
      <c r="J79" s="4">
        <v>-1</v>
      </c>
      <c r="K79" s="4"/>
      <c r="L79" s="4">
        <v>2</v>
      </c>
      <c r="M79" s="4"/>
      <c r="N79" s="4"/>
      <c r="O79" s="5"/>
      <c r="P79" s="3" t="s">
        <v>306</v>
      </c>
      <c r="Q79" s="3" t="s">
        <v>40</v>
      </c>
      <c r="R79">
        <f t="shared" si="2"/>
        <v>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</row>
    <row r="80" spans="1:33" ht="28.8" customHeight="1" x14ac:dyDescent="0.3">
      <c r="A80" s="2">
        <v>79</v>
      </c>
      <c r="B80" s="2" t="s">
        <v>340</v>
      </c>
      <c r="C80" s="2" t="s">
        <v>295</v>
      </c>
      <c r="D80" s="3" t="s">
        <v>341</v>
      </c>
      <c r="E80" s="2" t="s">
        <v>342</v>
      </c>
      <c r="F80" s="2"/>
      <c r="G80" s="3"/>
      <c r="H80" s="4">
        <v>2</v>
      </c>
      <c r="I80" s="4">
        <v>1</v>
      </c>
      <c r="J80" s="4"/>
      <c r="K80" s="4">
        <v>-1</v>
      </c>
      <c r="L80" s="4"/>
      <c r="M80" s="4">
        <v>1</v>
      </c>
      <c r="N80" s="4"/>
      <c r="O80" s="5"/>
      <c r="P80" s="3" t="s">
        <v>302</v>
      </c>
      <c r="Q80" s="3" t="s">
        <v>40</v>
      </c>
      <c r="R80">
        <f t="shared" si="2"/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ht="28.8" customHeight="1" x14ac:dyDescent="0.3">
      <c r="A81" s="2">
        <v>80</v>
      </c>
      <c r="B81" s="2" t="s">
        <v>343</v>
      </c>
      <c r="C81" s="2" t="s">
        <v>295</v>
      </c>
      <c r="D81" s="3" t="s">
        <v>344</v>
      </c>
      <c r="E81" s="2" t="s">
        <v>345</v>
      </c>
      <c r="F81" s="2"/>
      <c r="G81" s="3"/>
      <c r="H81" s="4">
        <v>-1</v>
      </c>
      <c r="I81" s="4"/>
      <c r="J81" s="4"/>
      <c r="K81" s="4"/>
      <c r="L81" s="4">
        <v>1</v>
      </c>
      <c r="M81" s="4"/>
      <c r="N81" s="4"/>
      <c r="O81" s="5">
        <v>1</v>
      </c>
      <c r="P81" s="3" t="s">
        <v>306</v>
      </c>
      <c r="Q81" s="3" t="s">
        <v>40</v>
      </c>
      <c r="R81">
        <f t="shared" si="2"/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</row>
    <row r="82" spans="1:33" ht="28.8" customHeight="1" x14ac:dyDescent="0.3">
      <c r="A82" s="2">
        <v>81</v>
      </c>
      <c r="B82" s="2" t="s">
        <v>346</v>
      </c>
      <c r="C82" s="2" t="s">
        <v>295</v>
      </c>
      <c r="D82" s="3" t="s">
        <v>347</v>
      </c>
      <c r="E82" s="2" t="s">
        <v>68</v>
      </c>
      <c r="F82" s="2"/>
      <c r="G82" s="3"/>
      <c r="H82" s="4"/>
      <c r="I82" s="4"/>
      <c r="J82" s="4"/>
      <c r="K82" s="4">
        <v>1</v>
      </c>
      <c r="L82" s="4"/>
      <c r="M82" s="4"/>
      <c r="N82" s="4"/>
      <c r="O82" s="5"/>
      <c r="P82" s="3" t="s">
        <v>348</v>
      </c>
      <c r="Q82" s="3" t="s">
        <v>40</v>
      </c>
      <c r="R82">
        <f t="shared" si="2"/>
        <v>2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ht="28.8" customHeight="1" x14ac:dyDescent="0.3">
      <c r="A83" s="2">
        <v>82</v>
      </c>
      <c r="B83" s="2" t="s">
        <v>349</v>
      </c>
      <c r="C83" s="2" t="s">
        <v>295</v>
      </c>
      <c r="D83" s="3" t="s">
        <v>350</v>
      </c>
      <c r="E83" s="2" t="s">
        <v>351</v>
      </c>
      <c r="F83" s="2"/>
      <c r="G83" s="3"/>
      <c r="H83" s="4"/>
      <c r="I83" s="4"/>
      <c r="J83" s="4"/>
      <c r="K83" s="4"/>
      <c r="L83" s="4">
        <v>2</v>
      </c>
      <c r="M83" s="4"/>
      <c r="N83" s="4"/>
      <c r="O83" s="5"/>
      <c r="P83" s="3" t="s">
        <v>54</v>
      </c>
      <c r="Q83" s="3" t="s">
        <v>40</v>
      </c>
      <c r="R83">
        <f t="shared" si="2"/>
        <v>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3">
      <c r="A84" s="2">
        <v>83</v>
      </c>
      <c r="B84" t="s">
        <v>352</v>
      </c>
      <c r="C84" s="2" t="s">
        <v>295</v>
      </c>
      <c r="D84" t="s">
        <v>353</v>
      </c>
      <c r="E84" s="2" t="s">
        <v>132</v>
      </c>
      <c r="F84" s="2"/>
      <c r="G84" s="3"/>
      <c r="H84" s="4"/>
      <c r="I84" s="4">
        <v>2</v>
      </c>
      <c r="J84" s="4">
        <v>1</v>
      </c>
      <c r="K84" s="4"/>
      <c r="L84" s="4">
        <v>-3</v>
      </c>
      <c r="M84" s="4"/>
      <c r="N84" s="4"/>
      <c r="O84" s="5"/>
      <c r="P84" s="3"/>
      <c r="Q84" s="3" t="s">
        <v>40</v>
      </c>
      <c r="R84">
        <f t="shared" si="2"/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3">
      <c r="A85" s="2">
        <v>84</v>
      </c>
      <c r="B85" t="s">
        <v>354</v>
      </c>
      <c r="C85" s="2" t="s">
        <v>106</v>
      </c>
      <c r="D85" s="3" t="s">
        <v>355</v>
      </c>
      <c r="E85" s="2" t="s">
        <v>356</v>
      </c>
      <c r="F85" s="2"/>
      <c r="G85" s="3"/>
      <c r="H85" s="4"/>
      <c r="I85" s="4">
        <v>2</v>
      </c>
      <c r="J85" s="4">
        <v>1</v>
      </c>
      <c r="K85" s="4"/>
      <c r="L85" s="4">
        <v>-1</v>
      </c>
      <c r="M85" s="4"/>
      <c r="N85" s="4"/>
      <c r="O85" s="5"/>
      <c r="P85" s="3"/>
      <c r="Q85" s="3" t="s">
        <v>40</v>
      </c>
      <c r="R85">
        <f t="shared" si="2"/>
        <v>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3">
      <c r="A86" s="2">
        <v>85</v>
      </c>
      <c r="B86" s="2" t="s">
        <v>357</v>
      </c>
      <c r="C86" s="2" t="s">
        <v>358</v>
      </c>
      <c r="D86" t="s">
        <v>359</v>
      </c>
      <c r="E86" t="s">
        <v>360</v>
      </c>
      <c r="F86" s="2"/>
      <c r="G86" s="3"/>
      <c r="H86" s="4"/>
      <c r="I86" s="4">
        <v>2</v>
      </c>
      <c r="J86" s="4">
        <v>1</v>
      </c>
      <c r="K86" s="4">
        <v>-1</v>
      </c>
      <c r="L86" s="4">
        <v>-2</v>
      </c>
      <c r="M86" s="4"/>
      <c r="N86" s="4"/>
      <c r="O86" s="5"/>
      <c r="P86" s="3" t="s">
        <v>361</v>
      </c>
      <c r="Q86" s="3" t="s">
        <v>40</v>
      </c>
      <c r="R86">
        <f t="shared" si="2"/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ht="28.8" customHeight="1" x14ac:dyDescent="0.3">
      <c r="A87" s="2">
        <v>86</v>
      </c>
      <c r="B87" t="s">
        <v>362</v>
      </c>
      <c r="C87" s="2" t="s">
        <v>358</v>
      </c>
      <c r="D87" t="s">
        <v>363</v>
      </c>
      <c r="E87" t="s">
        <v>364</v>
      </c>
      <c r="F87" s="2"/>
      <c r="G87" s="3"/>
      <c r="H87" s="4">
        <v>1</v>
      </c>
      <c r="I87" s="4">
        <v>1</v>
      </c>
      <c r="J87" s="4"/>
      <c r="K87" s="4">
        <v>-1</v>
      </c>
      <c r="L87" s="4"/>
      <c r="M87" s="4"/>
      <c r="N87" s="4"/>
      <c r="O87" s="5"/>
      <c r="P87" s="3" t="s">
        <v>121</v>
      </c>
      <c r="Q87" s="3" t="s">
        <v>40</v>
      </c>
      <c r="R87">
        <f t="shared" si="2"/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ht="28.8" customHeight="1" x14ac:dyDescent="0.3">
      <c r="A88" s="2">
        <v>87</v>
      </c>
      <c r="B88" s="2" t="s">
        <v>365</v>
      </c>
      <c r="C88" s="2" t="s">
        <v>358</v>
      </c>
      <c r="D88" s="3" t="s">
        <v>366</v>
      </c>
      <c r="E88" s="2" t="s">
        <v>53</v>
      </c>
      <c r="F88" s="2"/>
      <c r="G88" s="3"/>
      <c r="H88" s="4"/>
      <c r="I88" s="4"/>
      <c r="J88" s="4">
        <v>1</v>
      </c>
      <c r="K88" s="4"/>
      <c r="L88" s="4"/>
      <c r="M88" s="4"/>
      <c r="N88" s="4"/>
      <c r="O88" s="5">
        <v>1</v>
      </c>
      <c r="P88" s="3" t="s">
        <v>367</v>
      </c>
      <c r="Q88" s="3" t="s">
        <v>40</v>
      </c>
      <c r="R88">
        <f t="shared" si="2"/>
        <v>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</row>
    <row r="89" spans="1:33" ht="28.8" customHeight="1" x14ac:dyDescent="0.3">
      <c r="A89" s="2">
        <v>88</v>
      </c>
      <c r="B89" s="2" t="s">
        <v>368</v>
      </c>
      <c r="C89" s="2" t="s">
        <v>358</v>
      </c>
      <c r="D89" s="3" t="s">
        <v>369</v>
      </c>
      <c r="E89" s="2" t="s">
        <v>370</v>
      </c>
      <c r="F89" s="2"/>
      <c r="G89" s="3"/>
      <c r="H89" s="4"/>
      <c r="I89" s="4"/>
      <c r="J89" s="4">
        <v>4</v>
      </c>
      <c r="K89" s="4">
        <v>-3</v>
      </c>
      <c r="L89" s="4">
        <v>-3</v>
      </c>
      <c r="M89" s="4"/>
      <c r="N89" s="4"/>
      <c r="O89" s="5">
        <v>1</v>
      </c>
      <c r="P89" s="3" t="s">
        <v>371</v>
      </c>
      <c r="Q89" s="3" t="s">
        <v>40</v>
      </c>
      <c r="R89">
        <f t="shared" si="2"/>
        <v>-1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</row>
    <row r="90" spans="1:33" ht="28.8" customHeight="1" x14ac:dyDescent="0.3">
      <c r="A90" s="2">
        <v>89</v>
      </c>
      <c r="B90" s="2" t="s">
        <v>372</v>
      </c>
      <c r="C90" s="2" t="s">
        <v>358</v>
      </c>
      <c r="D90" s="3" t="s">
        <v>373</v>
      </c>
      <c r="E90" s="2" t="s">
        <v>374</v>
      </c>
      <c r="F90" s="2"/>
      <c r="G90" s="3"/>
      <c r="H90" s="4"/>
      <c r="I90" s="4"/>
      <c r="J90" s="4">
        <v>1</v>
      </c>
      <c r="K90" s="4"/>
      <c r="L90" s="4"/>
      <c r="M90" s="4">
        <v>-1</v>
      </c>
      <c r="N90" s="4"/>
      <c r="O90" s="5">
        <v>1</v>
      </c>
      <c r="P90" s="3" t="s">
        <v>375</v>
      </c>
      <c r="Q90" s="3" t="s">
        <v>40</v>
      </c>
      <c r="R90">
        <f t="shared" si="2"/>
        <v>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</row>
    <row r="91" spans="1:33" ht="28.8" customHeight="1" x14ac:dyDescent="0.3">
      <c r="A91" s="2">
        <v>90</v>
      </c>
      <c r="B91" s="2" t="s">
        <v>376</v>
      </c>
      <c r="C91" s="2" t="s">
        <v>358</v>
      </c>
      <c r="D91" s="3" t="s">
        <v>377</v>
      </c>
      <c r="E91" s="2" t="s">
        <v>378</v>
      </c>
      <c r="F91" s="2"/>
      <c r="G91" s="3"/>
      <c r="H91" s="4"/>
      <c r="I91" s="4"/>
      <c r="J91" s="4"/>
      <c r="K91" s="4">
        <v>1</v>
      </c>
      <c r="L91" s="4"/>
      <c r="M91" s="4">
        <v>-1</v>
      </c>
      <c r="N91" s="4">
        <v>1</v>
      </c>
      <c r="O91" s="5"/>
      <c r="P91" s="3" t="s">
        <v>54</v>
      </c>
      <c r="Q91" s="3" t="s">
        <v>40</v>
      </c>
      <c r="R91">
        <f t="shared" si="2"/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ht="28.8" customHeight="1" x14ac:dyDescent="0.3">
      <c r="A92" s="2">
        <v>91</v>
      </c>
      <c r="B92" s="2" t="s">
        <v>379</v>
      </c>
      <c r="C92" s="2" t="s">
        <v>358</v>
      </c>
      <c r="D92" s="3" t="s">
        <v>380</v>
      </c>
      <c r="E92" s="2" t="s">
        <v>216</v>
      </c>
      <c r="F92" s="2"/>
      <c r="G92" s="3"/>
      <c r="H92" s="4">
        <v>-1</v>
      </c>
      <c r="I92" s="4">
        <v>1</v>
      </c>
      <c r="J92" s="4"/>
      <c r="K92" s="4"/>
      <c r="L92" s="4">
        <v>-1</v>
      </c>
      <c r="M92" s="4">
        <v>-1</v>
      </c>
      <c r="N92" s="4"/>
      <c r="O92" s="5"/>
      <c r="P92" s="3" t="s">
        <v>381</v>
      </c>
      <c r="Q92" s="3" t="s">
        <v>40</v>
      </c>
      <c r="R92">
        <f t="shared" si="2"/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ht="57.6" x14ac:dyDescent="0.3">
      <c r="A93" s="2">
        <v>92</v>
      </c>
      <c r="B93" t="s">
        <v>382</v>
      </c>
      <c r="C93" s="2" t="s">
        <v>358</v>
      </c>
      <c r="D93" s="3" t="s">
        <v>383</v>
      </c>
      <c r="E93" t="s">
        <v>384</v>
      </c>
      <c r="F93" s="2"/>
      <c r="G93" s="3"/>
      <c r="H93" s="4"/>
      <c r="I93" s="4"/>
      <c r="J93" s="4"/>
      <c r="K93" s="4">
        <v>2</v>
      </c>
      <c r="L93" s="4">
        <v>-1</v>
      </c>
      <c r="M93" s="4"/>
      <c r="N93" s="4"/>
      <c r="O93" s="5"/>
      <c r="P93" s="3" t="s">
        <v>385</v>
      </c>
      <c r="Q93" s="3" t="s">
        <v>40</v>
      </c>
      <c r="R93">
        <f t="shared" si="2"/>
        <v>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3">
      <c r="A94" s="2">
        <v>93</v>
      </c>
      <c r="B94" s="2" t="s">
        <v>386</v>
      </c>
      <c r="C94" s="2" t="s">
        <v>358</v>
      </c>
      <c r="D94" s="3" t="s">
        <v>387</v>
      </c>
      <c r="E94" s="2" t="s">
        <v>388</v>
      </c>
      <c r="F94" s="2"/>
      <c r="G94" s="3"/>
      <c r="H94" s="4"/>
      <c r="I94" s="4"/>
      <c r="J94" s="4"/>
      <c r="K94" s="4"/>
      <c r="L94" s="4">
        <v>-1</v>
      </c>
      <c r="M94" s="4">
        <v>-1</v>
      </c>
      <c r="N94" s="4"/>
      <c r="O94" s="5"/>
      <c r="P94" s="3"/>
      <c r="Q94" s="3" t="s">
        <v>40</v>
      </c>
      <c r="R94">
        <f t="shared" si="2"/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ht="28.8" customHeight="1" x14ac:dyDescent="0.3">
      <c r="A95" s="2">
        <v>94</v>
      </c>
      <c r="B95" s="2" t="s">
        <v>389</v>
      </c>
      <c r="C95" s="2" t="s">
        <v>358</v>
      </c>
      <c r="D95" s="3" t="s">
        <v>390</v>
      </c>
      <c r="E95" s="2" t="s">
        <v>391</v>
      </c>
      <c r="F95" s="2"/>
      <c r="G95" s="3"/>
      <c r="H95" s="4"/>
      <c r="I95" s="4"/>
      <c r="J95" s="4">
        <v>-1</v>
      </c>
      <c r="K95" s="4">
        <v>3</v>
      </c>
      <c r="L95" s="4">
        <v>-2</v>
      </c>
      <c r="M95" s="4"/>
      <c r="N95" s="4"/>
      <c r="O95" s="5"/>
      <c r="P95" s="3" t="s">
        <v>361</v>
      </c>
      <c r="Q95" s="3" t="s">
        <v>40</v>
      </c>
      <c r="R95">
        <f t="shared" si="2"/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ht="28.8" customHeight="1" x14ac:dyDescent="0.3">
      <c r="A96" s="2">
        <v>95</v>
      </c>
      <c r="B96" s="2" t="s">
        <v>392</v>
      </c>
      <c r="C96" s="2" t="s">
        <v>358</v>
      </c>
      <c r="D96" s="3" t="s">
        <v>393</v>
      </c>
      <c r="E96" s="2" t="s">
        <v>394</v>
      </c>
      <c r="F96" s="2"/>
      <c r="G96" s="3"/>
      <c r="H96" s="4"/>
      <c r="I96" s="4">
        <v>1</v>
      </c>
      <c r="J96" s="4">
        <v>1</v>
      </c>
      <c r="K96" s="4"/>
      <c r="L96" s="4"/>
      <c r="M96" s="4"/>
      <c r="N96" s="4"/>
      <c r="O96" s="5"/>
      <c r="P96" s="3" t="s">
        <v>395</v>
      </c>
      <c r="Q96" s="3" t="s">
        <v>156</v>
      </c>
      <c r="R96">
        <f t="shared" si="2"/>
        <v>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ht="28.8" customHeight="1" x14ac:dyDescent="0.3">
      <c r="A97" s="2">
        <v>96</v>
      </c>
      <c r="B97" s="2" t="s">
        <v>396</v>
      </c>
      <c r="C97" s="2" t="s">
        <v>358</v>
      </c>
      <c r="D97" s="3" t="s">
        <v>397</v>
      </c>
      <c r="E97" s="2" t="s">
        <v>398</v>
      </c>
      <c r="F97" s="2"/>
      <c r="G97" s="3"/>
      <c r="H97" s="4"/>
      <c r="I97" s="4"/>
      <c r="J97" s="4">
        <v>2</v>
      </c>
      <c r="K97" s="4"/>
      <c r="L97" s="4"/>
      <c r="M97" s="4"/>
      <c r="N97" s="4"/>
      <c r="O97" s="5"/>
      <c r="P97" s="3" t="s">
        <v>399</v>
      </c>
      <c r="Q97" s="3" t="s">
        <v>40</v>
      </c>
      <c r="R97">
        <f t="shared" si="2"/>
        <v>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ht="28.8" customHeight="1" x14ac:dyDescent="0.3">
      <c r="A98" s="2">
        <v>97</v>
      </c>
      <c r="B98" s="2" t="s">
        <v>400</v>
      </c>
      <c r="C98" s="2" t="s">
        <v>358</v>
      </c>
      <c r="D98" s="3" t="s">
        <v>401</v>
      </c>
      <c r="E98" s="2" t="s">
        <v>402</v>
      </c>
      <c r="F98" s="2"/>
      <c r="G98" s="3"/>
      <c r="H98" s="4"/>
      <c r="I98" s="4">
        <v>1</v>
      </c>
      <c r="J98" s="4"/>
      <c r="K98" s="4"/>
      <c r="L98" s="4"/>
      <c r="M98" s="4"/>
      <c r="N98" s="4"/>
      <c r="O98" s="5"/>
      <c r="P98" s="3" t="s">
        <v>403</v>
      </c>
      <c r="Q98" s="3" t="s">
        <v>404</v>
      </c>
      <c r="R98">
        <f t="shared" ref="R98:R113" si="3">SUM(H98+I98+J98+K98+L98+((M98+N98)*-1))+IF(ISTEXT(P98),1,0)</f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ht="28.8" customHeight="1" x14ac:dyDescent="0.3">
      <c r="A99" s="2">
        <v>98</v>
      </c>
      <c r="B99" s="2" t="s">
        <v>405</v>
      </c>
      <c r="C99" s="2" t="s">
        <v>358</v>
      </c>
      <c r="D99" s="3" t="s">
        <v>406</v>
      </c>
      <c r="E99" s="2" t="s">
        <v>407</v>
      </c>
      <c r="F99" s="2"/>
      <c r="G99" s="3"/>
      <c r="H99" s="4"/>
      <c r="I99" s="4"/>
      <c r="J99" s="4"/>
      <c r="K99" s="4"/>
      <c r="L99" s="4">
        <v>-2</v>
      </c>
      <c r="M99" s="4">
        <v>1</v>
      </c>
      <c r="N99" s="4"/>
      <c r="O99" s="5"/>
      <c r="P99" s="3" t="s">
        <v>516</v>
      </c>
      <c r="Q99" s="3" t="s">
        <v>40</v>
      </c>
      <c r="R99">
        <f t="shared" si="3"/>
        <v>-2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3">
      <c r="A100" s="2">
        <v>99</v>
      </c>
      <c r="B100" s="2" t="s">
        <v>408</v>
      </c>
      <c r="C100" s="2" t="s">
        <v>358</v>
      </c>
      <c r="D100" s="3" t="s">
        <v>409</v>
      </c>
      <c r="E100" s="2" t="s">
        <v>410</v>
      </c>
      <c r="F100" s="2"/>
      <c r="G100" s="3"/>
      <c r="H100" s="4"/>
      <c r="I100" s="4"/>
      <c r="J100" s="4">
        <v>2</v>
      </c>
      <c r="K100" s="4"/>
      <c r="L100" s="4"/>
      <c r="M100" s="4"/>
      <c r="N100" s="4"/>
      <c r="O100" s="5"/>
      <c r="P100" s="3" t="s">
        <v>411</v>
      </c>
      <c r="Q100" s="3"/>
      <c r="R100">
        <f t="shared" si="3"/>
        <v>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ht="57.6" customHeight="1" x14ac:dyDescent="0.3">
      <c r="A101" s="2">
        <v>100</v>
      </c>
      <c r="B101" s="2" t="s">
        <v>412</v>
      </c>
      <c r="C101" s="2" t="s">
        <v>358</v>
      </c>
      <c r="D101" s="3" t="s">
        <v>413</v>
      </c>
      <c r="E101" s="2" t="s">
        <v>414</v>
      </c>
      <c r="F101" s="2"/>
      <c r="G101" s="3"/>
      <c r="H101" s="4"/>
      <c r="I101" s="4">
        <v>1</v>
      </c>
      <c r="J101" s="4">
        <v>-1</v>
      </c>
      <c r="K101" s="4"/>
      <c r="L101" s="4"/>
      <c r="M101" s="4"/>
      <c r="N101" s="4"/>
      <c r="O101" s="5"/>
      <c r="P101" s="3" t="s">
        <v>415</v>
      </c>
      <c r="Q101" s="3" t="s">
        <v>40</v>
      </c>
      <c r="R101">
        <f t="shared" si="3"/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3">
      <c r="A102">
        <v>101</v>
      </c>
      <c r="B102" t="s">
        <v>416</v>
      </c>
      <c r="C102" t="s">
        <v>358</v>
      </c>
      <c r="D102" t="s">
        <v>417</v>
      </c>
      <c r="E102" t="s">
        <v>418</v>
      </c>
      <c r="H102" s="6"/>
      <c r="I102" s="6"/>
      <c r="J102" s="6"/>
      <c r="K102" s="6">
        <v>-3</v>
      </c>
      <c r="L102" s="6">
        <v>4</v>
      </c>
      <c r="M102" s="6"/>
      <c r="N102" s="6"/>
      <c r="O102" s="7"/>
      <c r="P102" s="9" t="s">
        <v>419</v>
      </c>
      <c r="Q102" t="s">
        <v>420</v>
      </c>
      <c r="R102">
        <f t="shared" si="3"/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ht="28.8" customHeight="1" x14ac:dyDescent="0.3">
      <c r="A103">
        <v>102</v>
      </c>
      <c r="B103" t="s">
        <v>421</v>
      </c>
      <c r="C103" t="s">
        <v>34</v>
      </c>
      <c r="D103" t="s">
        <v>422</v>
      </c>
      <c r="E103" t="s">
        <v>423</v>
      </c>
      <c r="F103" t="s">
        <v>424</v>
      </c>
      <c r="H103" s="6">
        <v>1</v>
      </c>
      <c r="I103" s="6"/>
      <c r="J103" s="6"/>
      <c r="K103" s="6"/>
      <c r="L103" s="6"/>
      <c r="M103" s="6">
        <v>-1</v>
      </c>
      <c r="N103" s="6"/>
      <c r="O103" s="7"/>
      <c r="P103" s="9" t="s">
        <v>425</v>
      </c>
      <c r="Q103" t="s">
        <v>40</v>
      </c>
      <c r="R103">
        <f t="shared" si="3"/>
        <v>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3">
      <c r="A104">
        <v>103</v>
      </c>
      <c r="B104" t="s">
        <v>426</v>
      </c>
      <c r="C104" t="s">
        <v>34</v>
      </c>
      <c r="D104" t="s">
        <v>427</v>
      </c>
      <c r="E104" t="s">
        <v>428</v>
      </c>
      <c r="F104" t="s">
        <v>424</v>
      </c>
      <c r="H104" s="6">
        <v>1</v>
      </c>
      <c r="I104" s="6"/>
      <c r="J104" s="6"/>
      <c r="K104" s="6"/>
      <c r="L104" s="6"/>
      <c r="M104" s="6">
        <v>-1</v>
      </c>
      <c r="N104" s="6"/>
      <c r="O104" s="7"/>
      <c r="P104" t="s">
        <v>429</v>
      </c>
      <c r="Q104" t="s">
        <v>40</v>
      </c>
      <c r="R104">
        <f t="shared" si="3"/>
        <v>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ht="28.8" customHeight="1" x14ac:dyDescent="0.3">
      <c r="A105">
        <v>104</v>
      </c>
      <c r="B105" t="s">
        <v>430</v>
      </c>
      <c r="C105" t="s">
        <v>34</v>
      </c>
      <c r="D105" t="s">
        <v>431</v>
      </c>
      <c r="E105" t="s">
        <v>284</v>
      </c>
      <c r="F105" t="s">
        <v>424</v>
      </c>
      <c r="H105" s="6">
        <v>1</v>
      </c>
      <c r="I105" s="6"/>
      <c r="J105" s="6"/>
      <c r="K105" s="6"/>
      <c r="L105" s="6"/>
      <c r="M105" s="6">
        <v>-1</v>
      </c>
      <c r="N105" s="6"/>
      <c r="O105" s="7"/>
      <c r="P105" s="9" t="s">
        <v>432</v>
      </c>
      <c r="Q105" t="s">
        <v>40</v>
      </c>
      <c r="R105">
        <f t="shared" si="3"/>
        <v>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ht="28.8" x14ac:dyDescent="0.3">
      <c r="A106">
        <v>105</v>
      </c>
      <c r="B106" t="s">
        <v>433</v>
      </c>
      <c r="C106" t="s">
        <v>34</v>
      </c>
      <c r="D106" t="s">
        <v>434</v>
      </c>
      <c r="E106" t="s">
        <v>414</v>
      </c>
      <c r="F106" t="s">
        <v>424</v>
      </c>
      <c r="H106" s="6">
        <v>1</v>
      </c>
      <c r="I106" s="6"/>
      <c r="J106" s="6"/>
      <c r="K106" s="6"/>
      <c r="L106" s="6"/>
      <c r="M106" s="6">
        <v>1</v>
      </c>
      <c r="N106" s="6"/>
      <c r="O106" s="7"/>
      <c r="P106" s="9" t="s">
        <v>80</v>
      </c>
      <c r="R106">
        <f t="shared" si="3"/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ht="43.2" customHeight="1" x14ac:dyDescent="0.3">
      <c r="A107">
        <v>106</v>
      </c>
      <c r="B107" t="s">
        <v>435</v>
      </c>
      <c r="C107" t="s">
        <v>34</v>
      </c>
      <c r="D107" t="s">
        <v>436</v>
      </c>
      <c r="E107" t="s">
        <v>437</v>
      </c>
      <c r="F107" t="s">
        <v>424</v>
      </c>
      <c r="H107" s="6">
        <v>1</v>
      </c>
      <c r="I107" s="6"/>
      <c r="J107" s="6">
        <v>1</v>
      </c>
      <c r="K107" s="6"/>
      <c r="L107" s="6"/>
      <c r="M107" s="6"/>
      <c r="N107" s="6"/>
      <c r="O107" s="7"/>
      <c r="P107" s="9" t="s">
        <v>438</v>
      </c>
      <c r="Q107" t="s">
        <v>40</v>
      </c>
      <c r="R107">
        <f t="shared" si="3"/>
        <v>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ht="28.8" customHeight="1" x14ac:dyDescent="0.3">
      <c r="A108">
        <v>107</v>
      </c>
      <c r="B108" t="s">
        <v>439</v>
      </c>
      <c r="C108" t="s">
        <v>34</v>
      </c>
      <c r="D108" t="s">
        <v>440</v>
      </c>
      <c r="E108" t="s">
        <v>83</v>
      </c>
      <c r="F108" t="s">
        <v>424</v>
      </c>
      <c r="H108" s="6">
        <v>1</v>
      </c>
      <c r="I108" s="6"/>
      <c r="J108" s="6"/>
      <c r="K108" s="6"/>
      <c r="L108" s="6"/>
      <c r="M108" s="6">
        <v>-1</v>
      </c>
      <c r="N108" s="6"/>
      <c r="O108" s="7"/>
      <c r="P108" s="9" t="s">
        <v>441</v>
      </c>
      <c r="Q108" t="s">
        <v>40</v>
      </c>
      <c r="R108">
        <f t="shared" si="3"/>
        <v>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ht="43.2" customHeight="1" x14ac:dyDescent="0.3">
      <c r="A109">
        <v>108</v>
      </c>
      <c r="B109" t="s">
        <v>442</v>
      </c>
      <c r="C109" t="s">
        <v>34</v>
      </c>
      <c r="D109" t="s">
        <v>443</v>
      </c>
      <c r="E109" t="s">
        <v>216</v>
      </c>
      <c r="F109" t="s">
        <v>424</v>
      </c>
      <c r="H109" s="6">
        <v>2</v>
      </c>
      <c r="I109" s="6"/>
      <c r="J109" s="6"/>
      <c r="K109" s="6"/>
      <c r="L109" s="6"/>
      <c r="M109" s="6"/>
      <c r="N109" s="6"/>
      <c r="O109" s="7"/>
      <c r="P109" s="9" t="s">
        <v>444</v>
      </c>
      <c r="Q109" t="s">
        <v>40</v>
      </c>
      <c r="R109">
        <f t="shared" si="3"/>
        <v>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3">
      <c r="A110">
        <v>109</v>
      </c>
      <c r="B110" t="s">
        <v>445</v>
      </c>
      <c r="C110" t="s">
        <v>34</v>
      </c>
      <c r="D110" t="s">
        <v>446</v>
      </c>
      <c r="E110" t="s">
        <v>447</v>
      </c>
      <c r="F110" t="s">
        <v>102</v>
      </c>
      <c r="H110" s="6">
        <v>1</v>
      </c>
      <c r="I110" s="6"/>
      <c r="J110" s="6">
        <v>1</v>
      </c>
      <c r="K110" s="6">
        <v>-1</v>
      </c>
      <c r="L110" s="6">
        <v>-1</v>
      </c>
      <c r="M110" s="6"/>
      <c r="N110" s="6"/>
      <c r="O110" s="7"/>
      <c r="P110" s="9"/>
      <c r="Q110" t="s">
        <v>40</v>
      </c>
      <c r="R110">
        <f t="shared" si="3"/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ht="28.8" customHeight="1" x14ac:dyDescent="0.3">
      <c r="A111">
        <v>110</v>
      </c>
      <c r="B111" t="s">
        <v>448</v>
      </c>
      <c r="C111" t="s">
        <v>34</v>
      </c>
      <c r="D111" t="s">
        <v>449</v>
      </c>
      <c r="E111" t="s">
        <v>450</v>
      </c>
      <c r="F111" t="s">
        <v>424</v>
      </c>
      <c r="H111" s="6">
        <v>1</v>
      </c>
      <c r="I111" s="6"/>
      <c r="J111" s="6"/>
      <c r="K111" s="6"/>
      <c r="L111" s="6"/>
      <c r="M111" s="6"/>
      <c r="N111" s="6"/>
      <c r="O111" s="7"/>
      <c r="P111" s="9" t="s">
        <v>451</v>
      </c>
      <c r="Q111" t="s">
        <v>40</v>
      </c>
      <c r="R111">
        <f t="shared" si="3"/>
        <v>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3">
      <c r="A112">
        <v>111</v>
      </c>
      <c r="B112" t="s">
        <v>452</v>
      </c>
      <c r="C112" t="s">
        <v>34</v>
      </c>
      <c r="D112" t="s">
        <v>453</v>
      </c>
      <c r="E112" t="s">
        <v>454</v>
      </c>
      <c r="F112" t="s">
        <v>424</v>
      </c>
      <c r="H112" s="6">
        <v>1</v>
      </c>
      <c r="I112" s="6"/>
      <c r="J112" s="6"/>
      <c r="K112" s="6"/>
      <c r="L112" s="6"/>
      <c r="M112" s="6"/>
      <c r="N112" s="6"/>
      <c r="O112" s="7"/>
      <c r="P112" s="9"/>
      <c r="Q112" t="s">
        <v>40</v>
      </c>
      <c r="R112">
        <f t="shared" si="3"/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ht="28.8" customHeight="1" x14ac:dyDescent="0.3">
      <c r="A113">
        <v>112</v>
      </c>
      <c r="B113" t="s">
        <v>455</v>
      </c>
      <c r="C113" t="s">
        <v>34</v>
      </c>
      <c r="D113" t="s">
        <v>456</v>
      </c>
      <c r="E113" t="s">
        <v>457</v>
      </c>
      <c r="F113" t="s">
        <v>424</v>
      </c>
      <c r="H113" s="6">
        <v>1</v>
      </c>
      <c r="I113" s="6"/>
      <c r="J113" s="6">
        <v>-1</v>
      </c>
      <c r="K113" s="6"/>
      <c r="L113" s="6"/>
      <c r="M113" s="6"/>
      <c r="N113" s="6"/>
      <c r="O113" s="7"/>
      <c r="P113" s="9" t="s">
        <v>458</v>
      </c>
      <c r="Q113" t="s">
        <v>40</v>
      </c>
      <c r="R113">
        <f t="shared" si="3"/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</row>
    <row r="114" spans="1:33" ht="43.2" customHeight="1" x14ac:dyDescent="0.3">
      <c r="A114">
        <v>113</v>
      </c>
      <c r="B114" t="s">
        <v>459</v>
      </c>
      <c r="C114" t="s">
        <v>34</v>
      </c>
      <c r="D114" t="s">
        <v>460</v>
      </c>
      <c r="E114" t="s">
        <v>330</v>
      </c>
      <c r="F114" t="s">
        <v>424</v>
      </c>
      <c r="H114" s="6">
        <v>1</v>
      </c>
      <c r="I114" s="6"/>
      <c r="J114" s="6"/>
      <c r="K114" s="6"/>
      <c r="L114" s="6"/>
      <c r="M114" s="6"/>
      <c r="N114" s="6">
        <v>-1</v>
      </c>
      <c r="O114" s="7"/>
      <c r="P114" s="9" t="s">
        <v>461</v>
      </c>
      <c r="Q114" t="s">
        <v>40</v>
      </c>
      <c r="R114">
        <f>SUM(H114+I114+J114+K114+L114+((M114+N114)*-1))+IF(ISTEXT(#REF!),1,0)</f>
        <v>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ht="28.8" x14ac:dyDescent="0.3">
      <c r="A115">
        <v>114</v>
      </c>
      <c r="B115" t="s">
        <v>462</v>
      </c>
      <c r="C115" t="s">
        <v>34</v>
      </c>
      <c r="D115" t="s">
        <v>463</v>
      </c>
      <c r="E115" t="s">
        <v>464</v>
      </c>
      <c r="F115" t="s">
        <v>424</v>
      </c>
      <c r="H115" s="6">
        <v>2</v>
      </c>
      <c r="I115" s="6"/>
      <c r="J115" s="6"/>
      <c r="K115" s="6"/>
      <c r="L115" s="6"/>
      <c r="M115" s="6">
        <v>1</v>
      </c>
      <c r="N115" s="6"/>
      <c r="O115" s="7"/>
      <c r="P115" s="9" t="s">
        <v>465</v>
      </c>
      <c r="Q115" t="s">
        <v>40</v>
      </c>
      <c r="R115">
        <f t="shared" ref="R115:R127" si="4">SUM(H115+I115+J115+K115+L115+((M115+N115)*-1))+IF(ISTEXT(P115),1,0)</f>
        <v>2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ht="28.8" x14ac:dyDescent="0.3">
      <c r="A116">
        <v>115</v>
      </c>
      <c r="B116" t="s">
        <v>466</v>
      </c>
      <c r="C116" t="s">
        <v>34</v>
      </c>
      <c r="D116" t="s">
        <v>467</v>
      </c>
      <c r="E116" t="s">
        <v>468</v>
      </c>
      <c r="F116" t="s">
        <v>424</v>
      </c>
      <c r="H116" s="6">
        <v>1</v>
      </c>
      <c r="I116" s="6">
        <v>1</v>
      </c>
      <c r="J116" s="6"/>
      <c r="K116" s="6"/>
      <c r="L116" s="6"/>
      <c r="M116" s="6"/>
      <c r="N116" s="6"/>
      <c r="O116" s="7"/>
      <c r="P116" s="9" t="s">
        <v>451</v>
      </c>
      <c r="Q116" t="s">
        <v>40</v>
      </c>
      <c r="R116">
        <f t="shared" si="4"/>
        <v>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ht="28.8" x14ac:dyDescent="0.3">
      <c r="A117">
        <v>116</v>
      </c>
      <c r="B117" t="s">
        <v>469</v>
      </c>
      <c r="C117" t="s">
        <v>34</v>
      </c>
      <c r="D117" t="s">
        <v>470</v>
      </c>
      <c r="E117" t="s">
        <v>471</v>
      </c>
      <c r="F117" t="s">
        <v>424</v>
      </c>
      <c r="H117" s="6">
        <v>2</v>
      </c>
      <c r="I117" s="6"/>
      <c r="J117" s="6"/>
      <c r="K117" s="6"/>
      <c r="L117" s="6"/>
      <c r="M117" s="6"/>
      <c r="N117" s="6"/>
      <c r="O117" s="7"/>
      <c r="P117" s="9" t="s">
        <v>429</v>
      </c>
      <c r="Q117" t="s">
        <v>40</v>
      </c>
      <c r="R117">
        <f t="shared" si="4"/>
        <v>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ht="28.8" customHeight="1" x14ac:dyDescent="0.3">
      <c r="A118">
        <v>117</v>
      </c>
      <c r="B118" t="s">
        <v>472</v>
      </c>
      <c r="C118" t="s">
        <v>165</v>
      </c>
      <c r="D118" t="s">
        <v>473</v>
      </c>
      <c r="E118" t="s">
        <v>474</v>
      </c>
      <c r="H118" s="6">
        <v>-1</v>
      </c>
      <c r="I118" s="6"/>
      <c r="J118" s="6"/>
      <c r="K118" s="6">
        <v>3</v>
      </c>
      <c r="L118" s="6">
        <v>-1</v>
      </c>
      <c r="M118" s="6"/>
      <c r="N118" s="6"/>
      <c r="O118" s="7">
        <v>-1</v>
      </c>
      <c r="P118" s="9" t="s">
        <v>505</v>
      </c>
      <c r="Q118" t="s">
        <v>40</v>
      </c>
      <c r="R118">
        <f t="shared" si="4"/>
        <v>2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ht="28.8" customHeight="1" x14ac:dyDescent="0.3">
      <c r="A119">
        <v>118</v>
      </c>
      <c r="B119" t="s">
        <v>475</v>
      </c>
      <c r="C119" t="s">
        <v>165</v>
      </c>
      <c r="D119" t="s">
        <v>476</v>
      </c>
      <c r="E119" t="s">
        <v>477</v>
      </c>
      <c r="H119" s="6"/>
      <c r="I119" s="6"/>
      <c r="J119" s="6"/>
      <c r="K119" s="6">
        <v>3</v>
      </c>
      <c r="L119" s="6">
        <v>-1</v>
      </c>
      <c r="M119" s="6"/>
      <c r="N119" s="6"/>
      <c r="O119" s="7">
        <v>-1</v>
      </c>
      <c r="P119" s="9" t="s">
        <v>478</v>
      </c>
      <c r="Q119" t="s">
        <v>40</v>
      </c>
      <c r="R119">
        <f t="shared" si="4"/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</row>
    <row r="120" spans="1:33" x14ac:dyDescent="0.3">
      <c r="A120">
        <v>119</v>
      </c>
      <c r="B120" t="s">
        <v>479</v>
      </c>
      <c r="C120" t="s">
        <v>358</v>
      </c>
      <c r="D120" t="s">
        <v>480</v>
      </c>
      <c r="E120" t="s">
        <v>481</v>
      </c>
      <c r="H120" s="6"/>
      <c r="I120" s="6">
        <v>4</v>
      </c>
      <c r="J120" s="6"/>
      <c r="K120" s="6"/>
      <c r="L120" s="6">
        <v>-2</v>
      </c>
      <c r="M120" s="6"/>
      <c r="N120" s="6"/>
      <c r="O120" s="7">
        <v>-1</v>
      </c>
      <c r="P120" s="9"/>
      <c r="R120">
        <f t="shared" si="4"/>
        <v>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ht="43.2" customHeight="1" x14ac:dyDescent="0.3">
      <c r="A121">
        <v>120</v>
      </c>
      <c r="B121" t="s">
        <v>482</v>
      </c>
      <c r="C121" t="s">
        <v>106</v>
      </c>
      <c r="D121" t="s">
        <v>483</v>
      </c>
      <c r="E121" t="s">
        <v>162</v>
      </c>
      <c r="H121" s="6"/>
      <c r="I121" s="6">
        <v>2</v>
      </c>
      <c r="J121" s="6"/>
      <c r="K121" s="6"/>
      <c r="L121" s="6"/>
      <c r="M121" s="6"/>
      <c r="N121" s="6"/>
      <c r="O121" s="7">
        <v>2</v>
      </c>
      <c r="P121" s="9" t="s">
        <v>109</v>
      </c>
      <c r="Q121" t="s">
        <v>40</v>
      </c>
      <c r="R121">
        <f t="shared" si="4"/>
        <v>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</row>
    <row r="122" spans="1:33" x14ac:dyDescent="0.3">
      <c r="A122">
        <v>121</v>
      </c>
      <c r="B122" t="s">
        <v>484</v>
      </c>
      <c r="C122" t="s">
        <v>165</v>
      </c>
      <c r="D122" t="s">
        <v>485</v>
      </c>
      <c r="E122" t="s">
        <v>486</v>
      </c>
      <c r="H122" s="6"/>
      <c r="I122" s="6"/>
      <c r="J122" s="6"/>
      <c r="K122" s="6">
        <v>3</v>
      </c>
      <c r="L122" s="6">
        <v>-2</v>
      </c>
      <c r="M122" s="6"/>
      <c r="N122" s="6"/>
      <c r="O122" s="7">
        <v>1</v>
      </c>
      <c r="P122" s="9" t="s">
        <v>487</v>
      </c>
      <c r="Q122" t="s">
        <v>40</v>
      </c>
      <c r="R122">
        <f t="shared" si="4"/>
        <v>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3">
      <c r="A123">
        <v>122</v>
      </c>
      <c r="B123" t="s">
        <v>488</v>
      </c>
      <c r="C123" t="s">
        <v>165</v>
      </c>
      <c r="D123" t="s">
        <v>489</v>
      </c>
      <c r="E123" t="s">
        <v>112</v>
      </c>
      <c r="H123" s="6"/>
      <c r="I123" s="6"/>
      <c r="J123" s="6"/>
      <c r="K123" s="6">
        <v>3</v>
      </c>
      <c r="L123" s="6">
        <v>-2</v>
      </c>
      <c r="M123" s="6"/>
      <c r="N123" s="6"/>
      <c r="O123" s="7">
        <v>-1</v>
      </c>
      <c r="P123" s="9"/>
      <c r="Q123" t="s">
        <v>40</v>
      </c>
      <c r="R123">
        <f t="shared" si="4"/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3">
      <c r="A124">
        <v>123</v>
      </c>
      <c r="B124" t="s">
        <v>490</v>
      </c>
      <c r="C124" t="s">
        <v>358</v>
      </c>
      <c r="D124" t="s">
        <v>491</v>
      </c>
      <c r="E124" t="s">
        <v>128</v>
      </c>
      <c r="H124" s="6"/>
      <c r="I124" s="6">
        <v>1</v>
      </c>
      <c r="J124" s="6"/>
      <c r="K124" s="6"/>
      <c r="L124" s="6"/>
      <c r="M124" s="6"/>
      <c r="N124" s="6"/>
      <c r="O124" s="7">
        <v>-1</v>
      </c>
      <c r="P124" s="9"/>
      <c r="Q124" t="s">
        <v>40</v>
      </c>
      <c r="R124">
        <f t="shared" si="4"/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3">
      <c r="A125">
        <v>124</v>
      </c>
      <c r="B125" t="s">
        <v>492</v>
      </c>
      <c r="C125" t="s">
        <v>106</v>
      </c>
      <c r="D125" t="s">
        <v>493</v>
      </c>
      <c r="E125" t="s">
        <v>494</v>
      </c>
      <c r="H125" s="6"/>
      <c r="I125" s="6">
        <v>2</v>
      </c>
      <c r="J125" s="6"/>
      <c r="K125" s="6"/>
      <c r="L125" s="6"/>
      <c r="M125" s="6"/>
      <c r="N125" s="6"/>
      <c r="O125" s="7">
        <v>-1</v>
      </c>
      <c r="P125" s="9" t="s">
        <v>145</v>
      </c>
      <c r="Q125" t="s">
        <v>40</v>
      </c>
      <c r="R125">
        <f t="shared" si="4"/>
        <v>3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ht="28.8" customHeight="1" x14ac:dyDescent="0.3">
      <c r="A126">
        <v>125</v>
      </c>
      <c r="B126" t="s">
        <v>495</v>
      </c>
      <c r="C126" t="s">
        <v>165</v>
      </c>
      <c r="D126" t="s">
        <v>496</v>
      </c>
      <c r="E126" t="s">
        <v>497</v>
      </c>
      <c r="H126" s="6"/>
      <c r="I126" s="6"/>
      <c r="J126" s="6"/>
      <c r="K126" s="6">
        <v>3</v>
      </c>
      <c r="L126" s="6">
        <v>-2</v>
      </c>
      <c r="M126" s="6"/>
      <c r="N126" s="6"/>
      <c r="O126" s="7">
        <v>-1</v>
      </c>
      <c r="P126" s="9" t="s">
        <v>498</v>
      </c>
      <c r="Q126" t="s">
        <v>40</v>
      </c>
      <c r="R126">
        <f t="shared" si="4"/>
        <v>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</row>
    <row r="127" spans="1:33" ht="28.8" customHeight="1" x14ac:dyDescent="0.3">
      <c r="A127">
        <v>126</v>
      </c>
      <c r="B127" t="s">
        <v>499</v>
      </c>
      <c r="C127" t="s">
        <v>295</v>
      </c>
      <c r="D127" t="s">
        <v>500</v>
      </c>
      <c r="E127" t="s">
        <v>501</v>
      </c>
      <c r="H127" s="6"/>
      <c r="I127" s="6">
        <v>2</v>
      </c>
      <c r="J127" s="6"/>
      <c r="K127" s="6"/>
      <c r="L127" s="6">
        <v>-1</v>
      </c>
      <c r="M127" s="6"/>
      <c r="N127" s="6"/>
      <c r="O127" s="7"/>
      <c r="P127" s="9" t="s">
        <v>502</v>
      </c>
      <c r="Q127" t="s">
        <v>40</v>
      </c>
      <c r="R127">
        <f t="shared" si="4"/>
        <v>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3">
      <c r="H128" s="6"/>
      <c r="I128" s="6"/>
      <c r="J128" s="6"/>
      <c r="K128" s="6"/>
      <c r="L128" s="6"/>
      <c r="M128" s="6"/>
      <c r="N128" s="6"/>
      <c r="O128" s="7"/>
      <c r="P128" s="3"/>
    </row>
    <row r="129" spans="7:33" x14ac:dyDescent="0.3">
      <c r="H129" s="6"/>
      <c r="I129" s="6"/>
      <c r="J129" s="6"/>
      <c r="K129" s="6"/>
      <c r="L129" s="6"/>
      <c r="M129" s="6"/>
      <c r="N129" s="6"/>
      <c r="O129" s="7"/>
    </row>
    <row r="130" spans="7:33" x14ac:dyDescent="0.3">
      <c r="H130" s="6"/>
      <c r="I130" s="6"/>
      <c r="J130" s="6"/>
      <c r="K130" s="6"/>
      <c r="L130" s="6"/>
      <c r="M130" s="6"/>
      <c r="N130" s="6"/>
      <c r="O130" s="6"/>
      <c r="P130" s="3"/>
    </row>
    <row r="133" spans="7:33" x14ac:dyDescent="0.3">
      <c r="G133" t="s">
        <v>503</v>
      </c>
      <c r="H133">
        <f t="shared" ref="H133:AG133" si="5">SUM(H2:H130)</f>
        <v>30</v>
      </c>
      <c r="I133">
        <f t="shared" si="5"/>
        <v>30</v>
      </c>
      <c r="J133">
        <f t="shared" si="5"/>
        <v>30</v>
      </c>
      <c r="K133">
        <f t="shared" si="5"/>
        <v>30</v>
      </c>
      <c r="L133">
        <f t="shared" si="5"/>
        <v>30</v>
      </c>
      <c r="M133">
        <f>SUM(M2:M130)</f>
        <v>-5</v>
      </c>
      <c r="N133">
        <f t="shared" si="5"/>
        <v>0</v>
      </c>
      <c r="O133">
        <f t="shared" si="5"/>
        <v>0</v>
      </c>
      <c r="P133">
        <f t="shared" si="5"/>
        <v>0</v>
      </c>
      <c r="Q133">
        <f t="shared" si="5"/>
        <v>0</v>
      </c>
      <c r="R133">
        <f t="shared" si="5"/>
        <v>265</v>
      </c>
      <c r="S133">
        <f t="shared" si="5"/>
        <v>5</v>
      </c>
      <c r="T133">
        <f t="shared" si="5"/>
        <v>5</v>
      </c>
      <c r="U133">
        <f t="shared" si="5"/>
        <v>5</v>
      </c>
      <c r="V133">
        <f t="shared" si="5"/>
        <v>5</v>
      </c>
      <c r="W133">
        <f t="shared" si="5"/>
        <v>5</v>
      </c>
      <c r="X133">
        <f t="shared" si="5"/>
        <v>5</v>
      </c>
      <c r="Y133">
        <f t="shared" si="5"/>
        <v>5</v>
      </c>
      <c r="Z133">
        <f t="shared" si="5"/>
        <v>5</v>
      </c>
      <c r="AA133">
        <f t="shared" si="5"/>
        <v>5</v>
      </c>
      <c r="AB133">
        <f t="shared" si="5"/>
        <v>5</v>
      </c>
      <c r="AC133">
        <f t="shared" si="5"/>
        <v>5</v>
      </c>
      <c r="AD133">
        <f t="shared" si="5"/>
        <v>5</v>
      </c>
      <c r="AE133">
        <f t="shared" si="5"/>
        <v>5</v>
      </c>
      <c r="AF133">
        <f t="shared" si="5"/>
        <v>5</v>
      </c>
      <c r="AG133">
        <f t="shared" si="5"/>
        <v>5</v>
      </c>
    </row>
    <row r="134" spans="7:33" x14ac:dyDescent="0.3"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</row>
    <row r="135" spans="7:33" x14ac:dyDescent="0.3">
      <c r="G135" t="s">
        <v>504</v>
      </c>
      <c r="H135">
        <v>30</v>
      </c>
      <c r="I135">
        <v>30</v>
      </c>
      <c r="J135">
        <v>30</v>
      </c>
      <c r="K135">
        <v>30</v>
      </c>
      <c r="L135">
        <v>30</v>
      </c>
      <c r="M135">
        <v>-5</v>
      </c>
      <c r="O135">
        <v>0</v>
      </c>
    </row>
    <row r="142" spans="7:33" x14ac:dyDescent="0.3">
      <c r="AF142">
        <f>SUM(AF2:AF104)</f>
        <v>4</v>
      </c>
      <c r="AG142">
        <f>SUM(AG2:AG104)</f>
        <v>4</v>
      </c>
    </row>
    <row r="143" spans="7:33" x14ac:dyDescent="0.3">
      <c r="AF143">
        <v>5</v>
      </c>
      <c r="AG143">
        <v>5</v>
      </c>
    </row>
  </sheetData>
  <autoFilter ref="A1:Q101" xr:uid="{00000000-0009-0000-0000-000000000000}"/>
  <conditionalFormatting sqref="H2:O104">
    <cfRule type="cellIs" dxfId="7" priority="6" operator="greaterThanOrEqual">
      <formula>1</formula>
    </cfRule>
    <cfRule type="cellIs" dxfId="6" priority="7" operator="lessThanOrEqual">
      <formula>-1</formula>
    </cfRule>
  </conditionalFormatting>
  <conditionalFormatting sqref="H105:O130">
    <cfRule type="colorScale" priority="3">
      <colorScale>
        <cfvo type="num" val="0"/>
        <cfvo type="num" val="0"/>
        <color rgb="FFFF7128"/>
        <color rgb="FF92D050"/>
      </colorScale>
    </cfRule>
  </conditionalFormatting>
  <conditionalFormatting sqref="R2:R130">
    <cfRule type="cellIs" dxfId="5" priority="17" operator="equal">
      <formula>5</formula>
    </cfRule>
    <cfRule type="cellIs" dxfId="4" priority="18" operator="equal">
      <formula>4</formula>
    </cfRule>
    <cfRule type="cellIs" dxfId="3" priority="19" operator="equal">
      <formula>3</formula>
    </cfRule>
    <cfRule type="cellIs" dxfId="2" priority="20" operator="equal">
      <formula>2</formula>
    </cfRule>
    <cfRule type="cellIs" dxfId="1" priority="21" operator="equal">
      <formula>1</formula>
    </cfRule>
  </conditionalFormatting>
  <conditionalFormatting sqref="S2:AG127">
    <cfRule type="cellIs" dxfId="0" priority="1" operator="greaterThanOrEqual">
      <formula>1</formula>
    </cfRule>
  </conditionalFormatting>
  <dataValidations count="5">
    <dataValidation type="list" allowBlank="1" sqref="Q2:Q101" xr:uid="{00000000-0002-0000-0000-000000000000}">
      <formula1>"—,Envenenado,Paralizado,Confundido,Enfermedad,Terror"</formula1>
    </dataValidation>
    <dataValidation type="list" allowBlank="1" showDropDown="1" sqref="G103:G127" xr:uid="{00000000-0002-0000-0000-000001000000}">
      <formula1>"—,La especie con menor velocidad,La especie con mayor armadura,La especie con menor Percepción,La especie con menor defensa"</formula1>
    </dataValidation>
    <dataValidation type="list" allowBlank="1" showDropDown="1" sqref="F103:F127" xr:uid="{00000000-0002-0000-0000-000002000000}">
      <formula1>"Carnívoro,Herbívoro,Omnívoro,—"</formula1>
    </dataValidation>
    <dataValidation type="list" showDropDown="1" sqref="C103:C127" xr:uid="{00000000-0002-0000-0000-000003000000}">
      <formula1>"Mandíbula,Pelaje,Extremidades,Alas,Cola,Sentido,Misceláneos"</formula1>
    </dataValidation>
    <dataValidation type="list" allowBlank="1" showDropDown="1" sqref="Q103:Q127" xr:uid="{00000000-0002-0000-0000-000004000000}">
      <formula1>"—,Envenenado,Paralizado,Confundido,Enfermedad,Terror,Aleatorio"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Cartas de Adaptación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Curioso Arte</cp:lastModifiedBy>
  <dcterms:created xsi:type="dcterms:W3CDTF">2026-02-06T01:58:43Z</dcterms:created>
  <dcterms:modified xsi:type="dcterms:W3CDTF">2026-02-13T19:58:08Z</dcterms:modified>
</cp:coreProperties>
</file>